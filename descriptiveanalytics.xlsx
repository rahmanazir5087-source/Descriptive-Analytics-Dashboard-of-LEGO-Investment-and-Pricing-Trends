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xecutive Summary" sheetId="1" state="visible" r:id="rId3"/>
    <sheet name=" Charts Overview" sheetId="2" state="visible" r:id="rId4"/>
    <sheet name="By Theme" sheetId="3" state="visible" r:id="rId5"/>
    <sheet name="By Year" sheetId="4" state="visible" r:id="rId6"/>
    <sheet name="By Size" sheetId="5" state="visible" r:id="rId7"/>
    <sheet name="Top 10 Sets" sheetId="6" state="visible" r:id="rId8"/>
    <sheet name=" Stats &amp; Correlation" sheetId="7" state="visible" r:id="rId9"/>
    <sheet name="Price Distribution" sheetId="8" state="visible" r:id="rId10"/>
    <sheet name="Raw Data (Preview)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<sst xmlns="http://schemas.openxmlformats.org/spreadsheetml/2006/main" count="349" uniqueCount="253">
  <si>
    <t xml:space="preserve">🧱  LEGO Secondary Market — Descriptive Analytics Report</t>
  </si>
  <si>
    <t xml:space="preserve">Dataset: 2,322 LEGO sets (1981–2014)  |  Secondary market prices — December 2015  |  Source: Brickpicker / eBay  |  Dobrynskaya &amp; Kishilova (2022)</t>
  </si>
  <si>
    <t xml:space="preserve">Total Sets</t>
  </si>
  <si>
    <t xml:space="preserve">Unique Themes</t>
  </si>
  <si>
    <t xml:space="preserve">Year Range</t>
  </si>
  <si>
    <t xml:space="preserve">Avg Set Age</t>
  </si>
  <si>
    <t xml:space="preserve">Avg Secondary (New)</t>
  </si>
  <si>
    <t xml:space="preserve">Avg Primary Retail</t>
  </si>
  <si>
    <t xml:space="preserve">Median Premium</t>
  </si>
  <si>
    <t xml:space="preserve">1981–2014</t>
  </si>
  <si>
    <t xml:space="preserve">▶  KEY INSIGHTS</t>
  </si>
  <si>
    <t xml:space="preserve">  ★  49% of sets sell at &gt;2× their original retail price on the secondary market.</t>
  </si>
  <si>
    <t xml:space="preserve">  ★  Advanced Models ($868 avg) and Star Wars ($664 avg) command the highest secondary prices in the preview.</t>
  </si>
  <si>
    <t xml:space="preserve">  ★  Piece count is the strongest driver of price — correlation r = 0.70 with secondary price.</t>
  </si>
  <si>
    <t xml:space="preserve">  ★  Largest sets (Size Group 1) average $1,046 — nearly 9× the $118 avg for the smallest sets.</t>
  </si>
  <si>
    <t xml:space="preserve">  ★  Star Wars dominates by volume (341 sets), while Advanced Models leads in per-set value.</t>
  </si>
  <si>
    <t xml:space="preserve">  ★  Set age shows a negative relationship with secondary price (r = −0.30) — more recently retired sets in the preview command higher prices.</t>
  </si>
  <si>
    <t xml:space="preserve">🧱  LEGO Descriptive Analytics — Charts Dashboard</t>
  </si>
  <si>
    <t xml:space="preserve">Chart 1 — Sets per Theme (Top 20)</t>
  </si>
  <si>
    <t xml:space="preserve">Chart 2 — Avg Secondary Price by Theme</t>
  </si>
  <si>
    <t xml:space="preserve">Chart 3 — Avg Premium % by Theme</t>
  </si>
  <si>
    <t xml:space="preserve">Chart 4 — Sets per Year &amp; Avg Price</t>
  </si>
  <si>
    <t xml:space="preserve">Chart 5 — Price Comparison by Theme</t>
  </si>
  <si>
    <t xml:space="preserve">Chart 6 — Premium % Distribution</t>
  </si>
  <si>
    <t xml:space="preserve">Chart 7 — Price by Size Group</t>
  </si>
  <si>
    <t xml:space="preserve">Chart 8 — Scatter: Pieces vs Price</t>
  </si>
  <si>
    <t xml:space="preserve">Chart 9 — Correlation Heatmap</t>
  </si>
  <si>
    <t xml:space="preserve">Chart 10 — Price per Piece by Theme</t>
  </si>
  <si>
    <t xml:space="preserve">LEGO Sets — Descriptive Summary by Theme (sorted by Avg Secondary Price)</t>
  </si>
  <si>
    <t xml:space="preserve">Theme</t>
  </si>
  <si>
    <t xml:space="preserve"># Sets</t>
  </si>
  <si>
    <t xml:space="preserve">Avg Pieces</t>
  </si>
  <si>
    <t xml:space="preserve">Avg Minifigs</t>
  </si>
  <si>
    <t xml:space="preserve">Avg Retail ($)</t>
  </si>
  <si>
    <t xml:space="preserve">Avg 2nd Mkt New ($)</t>
  </si>
  <si>
    <t xml:space="preserve">Avg 2nd Mkt Used ($)</t>
  </si>
  <si>
    <t xml:space="preserve">Avg Premium (%)</t>
  </si>
  <si>
    <t xml:space="preserve">Median Premium (%)</t>
  </si>
  <si>
    <t xml:space="preserve">Avg $/Piece</t>
  </si>
  <si>
    <t xml:space="preserve">Model team</t>
  </si>
  <si>
    <t xml:space="preserve">Advanced models</t>
  </si>
  <si>
    <t xml:space="preserve">Racers</t>
  </si>
  <si>
    <t xml:space="preserve">The Simpsons</t>
  </si>
  <si>
    <t xml:space="preserve">Discovery</t>
  </si>
  <si>
    <t xml:space="preserve">Trains</t>
  </si>
  <si>
    <t xml:space="preserve">Factory</t>
  </si>
  <si>
    <t xml:space="preserve">Batman</t>
  </si>
  <si>
    <t xml:space="preserve">Pirates</t>
  </si>
  <si>
    <t xml:space="preserve">Harry Potter</t>
  </si>
  <si>
    <t xml:space="preserve">Technic</t>
  </si>
  <si>
    <t xml:space="preserve">Indiana Jones</t>
  </si>
  <si>
    <t xml:space="preserve">Dino</t>
  </si>
  <si>
    <t xml:space="preserve">Ideas</t>
  </si>
  <si>
    <t xml:space="preserve">Star Wars</t>
  </si>
  <si>
    <t xml:space="preserve">Architecture</t>
  </si>
  <si>
    <t xml:space="preserve">Spider-man</t>
  </si>
  <si>
    <t xml:space="preserve">Power miners</t>
  </si>
  <si>
    <t xml:space="preserve">Spongebob Squarepants</t>
  </si>
  <si>
    <t xml:space="preserve">Castle</t>
  </si>
  <si>
    <t xml:space="preserve">Agents</t>
  </si>
  <si>
    <t xml:space="preserve">Monster fighters</t>
  </si>
  <si>
    <t xml:space="preserve">Minecraft</t>
  </si>
  <si>
    <t xml:space="preserve">Pirates of Caribean</t>
  </si>
  <si>
    <t xml:space="preserve">City</t>
  </si>
  <si>
    <t xml:space="preserve">The Lego movie</t>
  </si>
  <si>
    <t xml:space="preserve">Lord of the Rings</t>
  </si>
  <si>
    <t xml:space="preserve">Space</t>
  </si>
  <si>
    <t xml:space="preserve">Creator</t>
  </si>
  <si>
    <t xml:space="preserve">Super Heroes</t>
  </si>
  <si>
    <t xml:space="preserve">Cars</t>
  </si>
  <si>
    <t xml:space="preserve">Ninjago</t>
  </si>
  <si>
    <t xml:space="preserve">Toy story</t>
  </si>
  <si>
    <t xml:space="preserve">Lone Ranger</t>
  </si>
  <si>
    <t xml:space="preserve">Teenage mutant ninja turtle</t>
  </si>
  <si>
    <t xml:space="preserve">Bionicle</t>
  </si>
  <si>
    <t xml:space="preserve">Legends of China</t>
  </si>
  <si>
    <t xml:space="preserve">Disney princess</t>
  </si>
  <si>
    <t xml:space="preserve">Friends</t>
  </si>
  <si>
    <t xml:space="preserve">Seasonal</t>
  </si>
  <si>
    <t xml:space="preserve">Hero factory</t>
  </si>
  <si>
    <t xml:space="preserve">Prince of Persia</t>
  </si>
  <si>
    <t xml:space="preserve">Atlantis</t>
  </si>
  <si>
    <t xml:space="preserve">Miscellaneous</t>
  </si>
  <si>
    <t xml:space="preserve">OVERALL AVG / TOTAL</t>
  </si>
  <si>
    <t xml:space="preserve">Note: "—" indicates theme not present in the 50-record Raw Data preview. Full dataset contains 44 themes across 2,322 sets.</t>
  </si>
  <si>
    <t xml:space="preserve">Chart: Avg Secondary Price by Theme</t>
  </si>
  <si>
    <t xml:space="preserve">Chart: Avg Premium % by Theme</t>
  </si>
  <si>
    <t xml:space="preserve">Chart: Value Density — Avg Price per Piece</t>
  </si>
  <si>
    <t xml:space="preserve">Chart: Sets per Theme (Top 20)</t>
  </si>
  <si>
    <t xml:space="preserve">LEGO Sets — Descriptive Summary by Year of Release</t>
  </si>
  <si>
    <t xml:space="preserve">Year</t>
  </si>
  <si>
    <t xml:space="preserve">Note: "—" = year not in 50-record preview. Full dataset spans 1981–2014 (2,322 sets).</t>
  </si>
  <si>
    <t xml:space="preserve">Chart: Sets Released per Year &amp; Avg Secondary Price</t>
  </si>
  <si>
    <t xml:space="preserve">LEGO Sets — Summary by Size Group</t>
  </si>
  <si>
    <t xml:space="preserve">Size Group</t>
  </si>
  <si>
    <t xml:space="preserve">1 – Largest</t>
  </si>
  <si>
    <t xml:space="preserve">2 – Large</t>
  </si>
  <si>
    <t xml:space="preserve">3 – Medium</t>
  </si>
  <si>
    <t xml:space="preserve">4 – Smallest</t>
  </si>
  <si>
    <t xml:space="preserve">Chart: Price by Size Group</t>
  </si>
  <si>
    <t xml:space="preserve">Top 10 LEGO Sets by Secondary Market Price (New) — 2015</t>
  </si>
  <si>
    <t xml:space="preserve">Rank</t>
  </si>
  <si>
    <t xml:space="preserve">Set Name</t>
  </si>
  <si>
    <t xml:space="preserve"># Pieces</t>
  </si>
  <si>
    <t xml:space="preserve">Retail ($)</t>
  </si>
  <si>
    <t xml:space="preserve">2nd Mkt New ($)</t>
  </si>
  <si>
    <t xml:space="preserve">2nd Mkt Used ($)</t>
  </si>
  <si>
    <t xml:space="preserve">Premium (%)</t>
  </si>
  <si>
    <t xml:space="preserve">🥇1</t>
  </si>
  <si>
    <t xml:space="preserve">Taj Mahal</t>
  </si>
  <si>
    <t xml:space="preserve">🥈2</t>
  </si>
  <si>
    <t xml:space="preserve">Grand Carousel</t>
  </si>
  <si>
    <t xml:space="preserve">🥉3</t>
  </si>
  <si>
    <t xml:space="preserve">Statue of Liberty</t>
  </si>
  <si>
    <t xml:space="preserve">4</t>
  </si>
  <si>
    <t xml:space="preserve">Eiffel Tower</t>
  </si>
  <si>
    <t xml:space="preserve">5</t>
  </si>
  <si>
    <t xml:space="preserve">Cafe Corner</t>
  </si>
  <si>
    <t xml:space="preserve">6</t>
  </si>
  <si>
    <t xml:space="preserve">Market Street</t>
  </si>
  <si>
    <t xml:space="preserve">7</t>
  </si>
  <si>
    <t xml:space="preserve">Imperial Star Destroyer</t>
  </si>
  <si>
    <t xml:space="preserve">8</t>
  </si>
  <si>
    <t xml:space="preserve">Rebel Blockade Runner</t>
  </si>
  <si>
    <t xml:space="preserve">9</t>
  </si>
  <si>
    <t xml:space="preserve">Rebel Snowspeeder</t>
  </si>
  <si>
    <t xml:space="preserve">10</t>
  </si>
  <si>
    <t xml:space="preserve">Cloud City</t>
  </si>
  <si>
    <t xml:space="preserve">Descriptive Statistics &amp; Correlation Analysis</t>
  </si>
  <si>
    <t xml:space="preserve">DESCRIPTIVE STATISTICS</t>
  </si>
  <si>
    <t xml:space="preserve">Variable</t>
  </si>
  <si>
    <t xml:space="preserve">Count</t>
  </si>
  <si>
    <t xml:space="preserve">Mean</t>
  </si>
  <si>
    <t xml:space="preserve">Std Dev</t>
  </si>
  <si>
    <t xml:space="preserve">Min</t>
  </si>
  <si>
    <t xml:space="preserve">25th Pct</t>
  </si>
  <si>
    <t xml:space="preserve">Median</t>
  </si>
  <si>
    <t xml:space="preserve">75th Pct</t>
  </si>
  <si>
    <t xml:space="preserve">Max</t>
  </si>
  <si>
    <t xml:space="preserve"># Minifigures</t>
  </si>
  <si>
    <t xml:space="preserve">Secondary Price – New ($)</t>
  </si>
  <si>
    <t xml:space="preserve">Secondary Price – Used ($)</t>
  </si>
  <si>
    <t xml:space="preserve">Primary Retail Price ($)</t>
  </si>
  <si>
    <t xml:space="preserve">Set Age (yrs)</t>
  </si>
  <si>
    <t xml:space="preserve">CORRELATION MATRIX (Pearson r)</t>
  </si>
  <si>
    <t xml:space="preserve"># Minifigs</t>
  </si>
  <si>
    <t xml:space="preserve">Retail Price</t>
  </si>
  <si>
    <t xml:space="preserve">Sec. Price (New)</t>
  </si>
  <si>
    <t xml:space="preserve">Set Age</t>
  </si>
  <si>
    <t xml:space="preserve">Chart: Scatter — Pieces vs Secondary Price</t>
  </si>
  <si>
    <t xml:space="preserve">Chart: Correlation Heatmap</t>
  </si>
  <si>
    <t xml:space="preserve">Price Distribution Analysis</t>
  </si>
  <si>
    <t xml:space="preserve">Chart: Distribution of Secondary Market Premium over Retail Price</t>
  </si>
  <si>
    <t xml:space="preserve">Chart: Price Comparison — Retail vs Secondary Market (Top 12 Themes)</t>
  </si>
  <si>
    <t xml:space="preserve">Raw Data Preview — First 50 Records  (Full dataset: 2,322 sets)</t>
  </si>
  <si>
    <t xml:space="preserve">Set ID</t>
  </si>
  <si>
    <t xml:space="preserve">Sec. Price (New $)</t>
  </si>
  <si>
    <t xml:space="preserve">Sec. Price (Used $)</t>
  </si>
  <si>
    <t xml:space="preserve">Primary Price ($)</t>
  </si>
  <si>
    <t xml:space="preserve">Age (Yrs)</t>
  </si>
  <si>
    <t xml:space="preserve">10000</t>
  </si>
  <si>
    <t xml:space="preserve">Guarded Inn</t>
  </si>
  <si>
    <t xml:space="preserve">10001</t>
  </si>
  <si>
    <t xml:space="preserve">Metroliner</t>
  </si>
  <si>
    <t xml:space="preserve">10002</t>
  </si>
  <si>
    <t xml:space="preserve">Railroad Club Car</t>
  </si>
  <si>
    <t xml:space="preserve">10013</t>
  </si>
  <si>
    <t xml:space="preserve">Open Freight Wagon</t>
  </si>
  <si>
    <t xml:space="preserve">10014</t>
  </si>
  <si>
    <t xml:space="preserve">Caboose</t>
  </si>
  <si>
    <t xml:space="preserve">10015</t>
  </si>
  <si>
    <t xml:space="preserve">Green Passenger Wagon</t>
  </si>
  <si>
    <t xml:space="preserve">10016</t>
  </si>
  <si>
    <t xml:space="preserve">Tanker</t>
  </si>
  <si>
    <t xml:space="preserve">10017</t>
  </si>
  <si>
    <t xml:space="preserve">Hopper Wagon</t>
  </si>
  <si>
    <t xml:space="preserve">10018</t>
  </si>
  <si>
    <t xml:space="preserve">Darth Maul</t>
  </si>
  <si>
    <t xml:space="preserve">10019</t>
  </si>
  <si>
    <t xml:space="preserve">10020</t>
  </si>
  <si>
    <t xml:space="preserve">Santa Fe Super Chief</t>
  </si>
  <si>
    <t xml:space="preserve">10022</t>
  </si>
  <si>
    <t xml:space="preserve">Santa Fe Cars - Set II</t>
  </si>
  <si>
    <t xml:space="preserve">10023</t>
  </si>
  <si>
    <t xml:space="preserve">Bionicle Master Builder Set</t>
  </si>
  <si>
    <t xml:space="preserve">10024</t>
  </si>
  <si>
    <t xml:space="preserve">Red Baron</t>
  </si>
  <si>
    <t xml:space="preserve">10025</t>
  </si>
  <si>
    <t xml:space="preserve">Santa Fe Cars - Set I</t>
  </si>
  <si>
    <t xml:space="preserve">10026</t>
  </si>
  <si>
    <t xml:space="preserve">Special Edition Naboo Starfighter</t>
  </si>
  <si>
    <t xml:space="preserve">10029</t>
  </si>
  <si>
    <t xml:space="preserve">Lunar Lander</t>
  </si>
  <si>
    <t xml:space="preserve">10030</t>
  </si>
  <si>
    <t xml:space="preserve">10039</t>
  </si>
  <si>
    <t xml:space="preserve">Black Falcon's Fortress</t>
  </si>
  <si>
    <t xml:space="preserve">10040</t>
  </si>
  <si>
    <t xml:space="preserve">Black Seas Barracuda</t>
  </si>
  <si>
    <t xml:space="preserve">10106</t>
  </si>
  <si>
    <t xml:space="preserve">LEGO Snowflake</t>
  </si>
  <si>
    <t xml:space="preserve">10123</t>
  </si>
  <si>
    <t xml:space="preserve">10124</t>
  </si>
  <si>
    <t xml:space="preserve">Wright Flyer</t>
  </si>
  <si>
    <t xml:space="preserve">10129</t>
  </si>
  <si>
    <t xml:space="preserve">10131</t>
  </si>
  <si>
    <t xml:space="preserve">TIE Fighter Collection</t>
  </si>
  <si>
    <t xml:space="preserve">10132</t>
  </si>
  <si>
    <t xml:space="preserve">Motorized Hogwarts Express</t>
  </si>
  <si>
    <t xml:space="preserve">10133</t>
  </si>
  <si>
    <t xml:space="preserve">Burlington Northern Santa Fe</t>
  </si>
  <si>
    <t xml:space="preserve">10134</t>
  </si>
  <si>
    <t xml:space="preserve">Y-wing Attack Starfighter</t>
  </si>
  <si>
    <t xml:space="preserve">10143</t>
  </si>
  <si>
    <t xml:space="preserve">Death Star II</t>
  </si>
  <si>
    <t xml:space="preserve">10144</t>
  </si>
  <si>
    <t xml:space="preserve">Sandcrawler</t>
  </si>
  <si>
    <t xml:space="preserve">10152</t>
  </si>
  <si>
    <t xml:space="preserve">Maersk Sealand Container Ship</t>
  </si>
  <si>
    <t xml:space="preserve">10153</t>
  </si>
  <si>
    <t xml:space="preserve">Train Motor 9 V</t>
  </si>
  <si>
    <t xml:space="preserve">10155</t>
  </si>
  <si>
    <t xml:space="preserve">Maersk Container Ship</t>
  </si>
  <si>
    <t xml:space="preserve">10170</t>
  </si>
  <si>
    <t xml:space="preserve">TTX Intermodal Double-Stack Car</t>
  </si>
  <si>
    <t xml:space="preserve">10173</t>
  </si>
  <si>
    <t xml:space="preserve">Holiday Train</t>
  </si>
  <si>
    <t xml:space="preserve">10174</t>
  </si>
  <si>
    <t xml:space="preserve">Imperial AT-ST</t>
  </si>
  <si>
    <t xml:space="preserve">10175</t>
  </si>
  <si>
    <t xml:space="preserve">Vader's TIE Advanced</t>
  </si>
  <si>
    <t xml:space="preserve">10176</t>
  </si>
  <si>
    <t xml:space="preserve">King’s Castle</t>
  </si>
  <si>
    <t xml:space="preserve">10177</t>
  </si>
  <si>
    <t xml:space="preserve">Boeing 787 Dreamliner</t>
  </si>
  <si>
    <t xml:space="preserve">10178</t>
  </si>
  <si>
    <t xml:space="preserve">Motorized Walking AT-AT</t>
  </si>
  <si>
    <t xml:space="preserve">10179</t>
  </si>
  <si>
    <t xml:space="preserve">Ultimate Collector’s Millennium Falcon</t>
  </si>
  <si>
    <t xml:space="preserve">10181</t>
  </si>
  <si>
    <t xml:space="preserve">10182</t>
  </si>
  <si>
    <t xml:space="preserve">10183</t>
  </si>
  <si>
    <t xml:space="preserve">Hobby Trains</t>
  </si>
  <si>
    <t xml:space="preserve">10184</t>
  </si>
  <si>
    <t xml:space="preserve">Town Plan</t>
  </si>
  <si>
    <t xml:space="preserve">10185</t>
  </si>
  <si>
    <t xml:space="preserve">Green Grocer</t>
  </si>
  <si>
    <t xml:space="preserve">10186</t>
  </si>
  <si>
    <t xml:space="preserve">General Grievous</t>
  </si>
  <si>
    <t xml:space="preserve">10187</t>
  </si>
  <si>
    <t xml:space="preserve">Volkswagen Beetle</t>
  </si>
  <si>
    <t xml:space="preserve">10188</t>
  </si>
  <si>
    <t xml:space="preserve">Death Star</t>
  </si>
  <si>
    <t xml:space="preserve">10189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</si>
</sst>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#,##0"/>
    <numFmt numFmtId="167" formatCode="#,##0.0"/>
    <numFmt numFmtId="168" formatCode="\$#,##0.00"/>
    <numFmt numFmtId="169" formatCode="0.0\%"/>
    <numFmt numFmtId="170" formatCode="0.000"/>
  </numFmts>
  <fonts count="2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34"/>
    </font>
    <font>
      <i val="true"/>
      <sz val="9"/>
      <color rgb="FF888888"/>
      <name val="Calibri"/>
      <family val="0"/>
      <charset val="134"/>
    </font>
    <font>
      <b val="true"/>
      <sz val="8"/>
      <color rgb="FF666666"/>
      <name val="Calibri"/>
      <family val="0"/>
      <charset val="134"/>
    </font>
    <font>
      <b val="true"/>
      <sz val="20"/>
      <color rgb="FF006CB7"/>
      <name val="Calibri"/>
      <family val="0"/>
      <charset val="134"/>
    </font>
    <font>
      <b val="true"/>
      <sz val="20"/>
      <color rgb="FFC4001F"/>
      <name val="Calibri"/>
      <family val="0"/>
      <charset val="134"/>
    </font>
    <font>
      <b val="true"/>
      <sz val="20"/>
      <color rgb="FF1A1A2E"/>
      <name val="Calibri"/>
      <family val="0"/>
      <charset val="134"/>
    </font>
    <font>
      <b val="true"/>
      <sz val="20"/>
      <color rgb="FF006400"/>
      <name val="Calibri"/>
      <family val="0"/>
      <charset val="134"/>
    </font>
    <font>
      <b val="true"/>
      <sz val="11"/>
      <color rgb="FFFFFFFF"/>
      <name val="Calibri"/>
      <family val="0"/>
      <charset val="134"/>
    </font>
    <font>
      <b val="true"/>
      <sz val="10"/>
      <color rgb="FFC4001F"/>
      <name val="Calibri"/>
      <family val="0"/>
      <charset val="134"/>
    </font>
    <font>
      <sz val="10"/>
      <color rgb="FF006CB7"/>
      <name val="Calibri"/>
      <family val="0"/>
      <charset val="134"/>
    </font>
    <font>
      <sz val="10"/>
      <color rgb="FF1A1A2E"/>
      <name val="Calibri"/>
      <family val="0"/>
      <charset val="134"/>
    </font>
    <font>
      <sz val="10"/>
      <color rgb="FF2E7D32"/>
      <name val="Calibri"/>
      <family val="0"/>
      <charset val="134"/>
    </font>
    <font>
      <sz val="10"/>
      <color rgb="FFC4001F"/>
      <name val="Calibri"/>
      <family val="0"/>
      <charset val="134"/>
    </font>
    <font>
      <b val="true"/>
      <sz val="18"/>
      <color rgb="FFFFFFFF"/>
      <name val="Calibri"/>
      <family val="0"/>
      <charset val="134"/>
    </font>
    <font>
      <b val="true"/>
      <sz val="14"/>
      <color rgb="FFFFFFFF"/>
      <name val="Calibri"/>
      <family val="0"/>
      <charset val="134"/>
    </font>
    <font>
      <b val="true"/>
      <sz val="10"/>
      <color rgb="FFFFFFFF"/>
      <name val="Calibri"/>
      <family val="0"/>
      <charset val="134"/>
    </font>
    <font>
      <sz val="10"/>
      <name val="Calibri"/>
      <family val="0"/>
      <charset val="134"/>
    </font>
    <font>
      <b val="true"/>
      <sz val="10"/>
      <name val="Calibri"/>
      <family val="0"/>
      <charset val="134"/>
    </font>
    <font>
      <b val="true"/>
      <sz val="11"/>
      <name val="Calibri"/>
      <family val="0"/>
      <charset val="134"/>
    </font>
    <font>
      <sz val="10"/>
      <color rgb="FFB71C1C"/>
      <name val="Calibri"/>
      <family val="0"/>
      <charset val="134"/>
    </font>
    <font>
      <b val="true"/>
      <sz val="10"/>
      <color rgb="FF1B5E20"/>
      <name val="Calibri"/>
      <family val="0"/>
      <charset val="134"/>
    </font>
    <font>
      <sz val="10"/>
      <color rgb="FFF57F17"/>
      <name val="Calibri"/>
      <family val="0"/>
      <charset val="134"/>
    </font>
    <font>
      <b val="true"/>
      <sz val="13"/>
      <color rgb="FFFFFFFF"/>
      <name val="Calibri"/>
      <family val="0"/>
      <charset val="134"/>
    </font>
    <font>
      <sz val="9"/>
      <name val="Calibri"/>
      <family val="0"/>
      <charset val="134"/>
    </font>
  </fonts>
  <fills count="18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F8F8FF"/>
        <bgColor rgb="FFF5F5F5"/>
      </patternFill>
    </fill>
    <fill>
      <patternFill patternType="solid">
        <fgColor rgb="FF006CB7"/>
        <bgColor rgb="FF008080"/>
      </patternFill>
    </fill>
    <fill>
      <patternFill patternType="solid">
        <fgColor rgb="FFF5F5F5"/>
        <bgColor rgb="FFF8F8FF"/>
      </patternFill>
    </fill>
    <fill>
      <patternFill patternType="solid">
        <fgColor rgb="FFFFFFFF"/>
        <bgColor rgb="FFF8F8FF"/>
      </patternFill>
    </fill>
    <fill>
      <patternFill patternType="solid">
        <fgColor rgb="FFC4001F"/>
        <bgColor rgb="FFB71C1C"/>
      </patternFill>
    </fill>
    <fill>
      <patternFill patternType="solid">
        <fgColor rgb="FF2E7D32"/>
        <bgColor rgb="FF1B5E20"/>
      </patternFill>
    </fill>
    <fill>
      <patternFill patternType="solid">
        <fgColor rgb="FF7B1FA2"/>
        <bgColor rgb="FF800080"/>
      </patternFill>
    </fill>
    <fill>
      <patternFill patternType="solid">
        <fgColor rgb="FFFFD700"/>
        <bgColor rgb="FFFFFF00"/>
      </patternFill>
    </fill>
    <fill>
      <patternFill patternType="solid">
        <fgColor rgb="FFFFF8E1"/>
        <bgColor rgb="FFFFFDE7"/>
      </patternFill>
    </fill>
    <fill>
      <patternFill patternType="solid">
        <fgColor rgb="FFFFFDE7"/>
        <bgColor rgb="FFF9FBE7"/>
      </patternFill>
    </fill>
    <fill>
      <patternFill patternType="solid">
        <fgColor rgb="FFF9FBE7"/>
        <bgColor rgb="FFFFFDE7"/>
      </patternFill>
    </fill>
    <fill>
      <patternFill patternType="solid">
        <fgColor rgb="FFDDDDDD"/>
        <bgColor rgb="FFC8E6C9"/>
      </patternFill>
    </fill>
    <fill>
      <patternFill patternType="solid">
        <fgColor rgb="FFFFEBEE"/>
        <bgColor rgb="FFF5F5F5"/>
      </patternFill>
    </fill>
    <fill>
      <patternFill patternType="solid">
        <fgColor rgb="FFC8E6C9"/>
        <bgColor rgb="FFDDDDDD"/>
      </patternFill>
    </fill>
    <fill>
      <patternFill patternType="solid">
        <fgColor rgb="FFFFF9C4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4001F"/>
      <rgbColor rgb="FF00FF00"/>
      <rgbColor rgb="FF0000FF"/>
      <rgbColor rgb="FFFFFDE7"/>
      <rgbColor rgb="FFFF00FF"/>
      <rgbColor rgb="FF00FFFF"/>
      <rgbColor rgb="FF800000"/>
      <rgbColor rgb="FF006400"/>
      <rgbColor rgb="FF000080"/>
      <rgbColor rgb="FF666666"/>
      <rgbColor rgb="FF7B1FA2"/>
      <rgbColor rgb="FF008080"/>
      <rgbColor rgb="FFCCCCCC"/>
      <rgbColor rgb="FF888888"/>
      <rgbColor rgb="FF9999FF"/>
      <rgbColor rgb="FF993366"/>
      <rgbColor rgb="FFFFF9C4"/>
      <rgbColor rgb="FFF5F5F5"/>
      <rgbColor rgb="FF660066"/>
      <rgbColor rgb="FFFF8080"/>
      <rgbColor rgb="FF006CB7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8FF"/>
      <rgbColor rgb="FFC8E6C9"/>
      <rgbColor rgb="FFFFF8E1"/>
      <rgbColor rgb="FFF9FBE7"/>
      <rgbColor rgb="FFFF99CC"/>
      <rgbColor rgb="FFCC99FF"/>
      <rgbColor rgb="FFFFEBEE"/>
      <rgbColor rgb="FF3366FF"/>
      <rgbColor rgb="FF33CCCC"/>
      <rgbColor rgb="FF99CC00"/>
      <rgbColor rgb="FFFFD700"/>
      <rgbColor rgb="FFFF9900"/>
      <rgbColor rgb="FFF57F17"/>
      <rgbColor rgb="FF546E7A"/>
      <rgbColor rgb="FF969696"/>
      <rgbColor rgb="FF003366"/>
      <rgbColor rgb="FF2E7D32"/>
      <rgbColor rgb="FF003300"/>
      <rgbColor rgb="FF1B5E20"/>
      <rgbColor rgb="FFB71C1C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0.png"/><Relationship Id="rId4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6</xdr:col>
      <xdr:colOff>628560</xdr:colOff>
      <xdr:row>19</xdr:row>
      <xdr:rowOff>144720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914400"/>
          <a:ext cx="5517360" cy="304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15</xdr:col>
      <xdr:colOff>506160</xdr:colOff>
      <xdr:row>19</xdr:row>
      <xdr:rowOff>144720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792120" y="914400"/>
          <a:ext cx="5523120" cy="304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6</xdr:col>
      <xdr:colOff>628560</xdr:colOff>
      <xdr:row>53</xdr:row>
      <xdr:rowOff>144360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7115040"/>
          <a:ext cx="5517360" cy="304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15</xdr:col>
      <xdr:colOff>506160</xdr:colOff>
      <xdr:row>53</xdr:row>
      <xdr:rowOff>144360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6792120" y="7115040"/>
          <a:ext cx="5523120" cy="304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6</xdr:col>
      <xdr:colOff>628560</xdr:colOff>
      <xdr:row>87</xdr:row>
      <xdr:rowOff>144720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13316040"/>
          <a:ext cx="5517360" cy="304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71</xdr:row>
      <xdr:rowOff>0</xdr:rowOff>
    </xdr:from>
    <xdr:to>
      <xdr:col>15</xdr:col>
      <xdr:colOff>506160</xdr:colOff>
      <xdr:row>87</xdr:row>
      <xdr:rowOff>144720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6792120" y="13316040"/>
          <a:ext cx="5523120" cy="304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6</xdr:col>
      <xdr:colOff>628560</xdr:colOff>
      <xdr:row>121</xdr:row>
      <xdr:rowOff>144720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19516680"/>
          <a:ext cx="5517360" cy="304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105</xdr:row>
      <xdr:rowOff>0</xdr:rowOff>
    </xdr:from>
    <xdr:to>
      <xdr:col>15</xdr:col>
      <xdr:colOff>506160</xdr:colOff>
      <xdr:row>121</xdr:row>
      <xdr:rowOff>144720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6792120" y="19516680"/>
          <a:ext cx="5523120" cy="304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6</xdr:col>
      <xdr:colOff>628560</xdr:colOff>
      <xdr:row>148</xdr:row>
      <xdr:rowOff>144720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24450840"/>
          <a:ext cx="5517360" cy="304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132</xdr:row>
      <xdr:rowOff>0</xdr:rowOff>
    </xdr:from>
    <xdr:to>
      <xdr:col>15</xdr:col>
      <xdr:colOff>506160</xdr:colOff>
      <xdr:row>148</xdr:row>
      <xdr:rowOff>144720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6792120" y="24450840"/>
          <a:ext cx="5523120" cy="3040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50</xdr:row>
      <xdr:rowOff>0</xdr:rowOff>
    </xdr:from>
    <xdr:to>
      <xdr:col>5</xdr:col>
      <xdr:colOff>687960</xdr:colOff>
      <xdr:row>67</xdr:row>
      <xdr:rowOff>147960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0" y="9753480"/>
          <a:ext cx="5904000" cy="32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5</xdr:col>
      <xdr:colOff>687960</xdr:colOff>
      <xdr:row>92</xdr:row>
      <xdr:rowOff>147960</xdr:rowOff>
    </xdr:to>
    <xdr:pic>
      <xdr:nvPicPr>
        <xdr:cNvPr id="11" name="Image 2" descr="Picture"/>
        <xdr:cNvPicPr/>
      </xdr:nvPicPr>
      <xdr:blipFill>
        <a:blip r:embed="rId2"/>
        <a:stretch/>
      </xdr:blipFill>
      <xdr:spPr>
        <a:xfrm>
          <a:off x="0" y="14277960"/>
          <a:ext cx="5904000" cy="32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5</xdr:col>
      <xdr:colOff>687960</xdr:colOff>
      <xdr:row>118</xdr:row>
      <xdr:rowOff>147600</xdr:rowOff>
    </xdr:to>
    <xdr:pic>
      <xdr:nvPicPr>
        <xdr:cNvPr id="12" name="Image 3" descr="Picture"/>
        <xdr:cNvPicPr/>
      </xdr:nvPicPr>
      <xdr:blipFill>
        <a:blip r:embed="rId3"/>
        <a:stretch/>
      </xdr:blipFill>
      <xdr:spPr>
        <a:xfrm>
          <a:off x="0" y="18983160"/>
          <a:ext cx="5904000" cy="32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5</xdr:col>
      <xdr:colOff>687960</xdr:colOff>
      <xdr:row>145</xdr:row>
      <xdr:rowOff>147960</xdr:rowOff>
    </xdr:to>
    <xdr:pic>
      <xdr:nvPicPr>
        <xdr:cNvPr id="13" name="Image 4" descr="Picture"/>
        <xdr:cNvPicPr/>
      </xdr:nvPicPr>
      <xdr:blipFill>
        <a:blip r:embed="rId4"/>
        <a:stretch/>
      </xdr:blipFill>
      <xdr:spPr>
        <a:xfrm>
          <a:off x="0" y="23869800"/>
          <a:ext cx="5904000" cy="322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0</xdr:rowOff>
    </xdr:from>
    <xdr:to>
      <xdr:col>6</xdr:col>
      <xdr:colOff>886320</xdr:colOff>
      <xdr:row>52</xdr:row>
      <xdr:rowOff>144360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0" y="6467400"/>
          <a:ext cx="6666120" cy="3040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4</xdr:col>
      <xdr:colOff>672840</xdr:colOff>
      <xdr:row>25</xdr:row>
      <xdr:rowOff>55800</xdr:rowOff>
    </xdr:to>
    <xdr:pic>
      <xdr:nvPicPr>
        <xdr:cNvPr id="15" name="Image 1" descr="Picture"/>
        <xdr:cNvPicPr/>
      </xdr:nvPicPr>
      <xdr:blipFill>
        <a:blip r:embed="rId1"/>
        <a:stretch/>
      </xdr:blipFill>
      <xdr:spPr>
        <a:xfrm>
          <a:off x="0" y="2143080"/>
          <a:ext cx="4761000" cy="295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4</xdr:col>
      <xdr:colOff>709200</xdr:colOff>
      <xdr:row>42</xdr:row>
      <xdr:rowOff>150840</xdr:rowOff>
    </xdr:to>
    <xdr:pic>
      <xdr:nvPicPr>
        <xdr:cNvPr id="16" name="Image 1" descr="Picture"/>
        <xdr:cNvPicPr/>
      </xdr:nvPicPr>
      <xdr:blipFill>
        <a:blip r:embed="rId1"/>
        <a:stretch/>
      </xdr:blipFill>
      <xdr:spPr>
        <a:xfrm>
          <a:off x="0" y="4781520"/>
          <a:ext cx="5713560" cy="340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3</xdr:col>
      <xdr:colOff>623520</xdr:colOff>
      <xdr:row>66</xdr:row>
      <xdr:rowOff>154080</xdr:rowOff>
    </xdr:to>
    <xdr:pic>
      <xdr:nvPicPr>
        <xdr:cNvPr id="17" name="Image 2" descr="Picture"/>
        <xdr:cNvPicPr/>
      </xdr:nvPicPr>
      <xdr:blipFill>
        <a:blip r:embed="rId2"/>
        <a:stretch/>
      </xdr:blipFill>
      <xdr:spPr>
        <a:xfrm>
          <a:off x="0" y="8943840"/>
          <a:ext cx="4570560" cy="3592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10</xdr:col>
      <xdr:colOff>322560</xdr:colOff>
      <xdr:row>22</xdr:row>
      <xdr:rowOff>65520</xdr:rowOff>
    </xdr:to>
    <xdr:pic>
      <xdr:nvPicPr>
        <xdr:cNvPr id="18" name="Image 1" descr="Picture"/>
        <xdr:cNvPicPr/>
      </xdr:nvPicPr>
      <xdr:blipFill>
        <a:blip r:embed="rId1"/>
        <a:stretch/>
      </xdr:blipFill>
      <xdr:spPr>
        <a:xfrm>
          <a:off x="0" y="743040"/>
          <a:ext cx="6666120" cy="350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10</xdr:col>
      <xdr:colOff>322560</xdr:colOff>
      <xdr:row>47</xdr:row>
      <xdr:rowOff>65160</xdr:rowOff>
    </xdr:to>
    <xdr:pic>
      <xdr:nvPicPr>
        <xdr:cNvPr id="19" name="Image 2" descr="Picture"/>
        <xdr:cNvPicPr/>
      </xdr:nvPicPr>
      <xdr:blipFill>
        <a:blip r:embed="rId2"/>
        <a:stretch/>
      </xdr:blipFill>
      <xdr:spPr>
        <a:xfrm>
          <a:off x="0" y="5267160"/>
          <a:ext cx="6666120" cy="3503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B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15" min="2" style="1" width="14"/>
  </cols>
  <sheetData>
    <row r="1" customFormat="false" ht="4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true" outlineLevel="0" collapsed="false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12.75" hidden="false" customHeight="true" outlineLevel="0" collapsed="false">
      <c r="B4" s="4" t="s">
        <v>2</v>
      </c>
      <c r="C4" s="4"/>
      <c r="D4" s="4" t="s">
        <v>3</v>
      </c>
      <c r="E4" s="4"/>
      <c r="F4" s="4" t="s">
        <v>4</v>
      </c>
      <c r="G4" s="4"/>
      <c r="H4" s="4" t="s">
        <v>5</v>
      </c>
      <c r="I4" s="4"/>
      <c r="J4" s="4" t="s">
        <v>6</v>
      </c>
      <c r="K4" s="4"/>
      <c r="L4" s="4" t="s">
        <v>7</v>
      </c>
      <c r="M4" s="4"/>
      <c r="N4" s="4" t="s">
        <v>8</v>
      </c>
      <c r="O4" s="4"/>
    </row>
    <row r="5" customFormat="false" ht="37.5" hidden="false" customHeight="true" outlineLevel="0" collapsed="false">
      <c r="B5" s="5" t="str">
        <f aca="false">COUNTA('Raw Data (Preview)'!$A$3:$A$52)&amp;" (preview)"</f>
        <v>50 (preview)</v>
      </c>
      <c r="C5" s="5"/>
      <c r="D5" s="6" t="n">
        <f aca="false">SUMPRODUCT(1/COUNTIF('Raw Data (Preview)'!$B$3:$B$52,'Raw Data (Preview)'!$B$3:$B$52))</f>
        <v>10</v>
      </c>
      <c r="E5" s="6"/>
      <c r="F5" s="7" t="s">
        <v>9</v>
      </c>
      <c r="G5" s="7"/>
      <c r="H5" s="8" t="str">
        <f aca="false">ROUND(AVERAGE('Raw Data (Preview)'!$J$3:$J$52),1)&amp;" yrs"</f>
        <v>10.9 yrs</v>
      </c>
      <c r="I5" s="8"/>
      <c r="J5" s="5" t="str">
        <f aca="false">"$"&amp;TEXT(ROUND(AVERAGE('Raw Data (Preview)'!$G$3:$G$52),2),"#,##0.00")</f>
        <v>$497.40</v>
      </c>
      <c r="K5" s="5"/>
      <c r="L5" s="6" t="str">
        <f aca="false">"$"&amp;TEXT(ROUND(AVERAGE('Raw Data (Preview)'!$I$3:$I$52),2),"#,##0.00")</f>
        <v>$108.25</v>
      </c>
      <c r="M5" s="6"/>
      <c r="N5" s="8" t="str">
        <f aca="false">TEXT(ROUND(MEDIAN('Raw Data (Preview)'!$L$3:$L$52),1),"0.0")&amp;"%"</f>
        <v>381.0%</v>
      </c>
      <c r="O5" s="8"/>
    </row>
    <row r="6" customFormat="false" ht="12.75" hidden="false" customHeight="true" outlineLevel="0" collapsed="false"/>
    <row r="8" customFormat="false" ht="18" hidden="false" customHeight="true" outlineLevel="0" collapsed="false">
      <c r="B8" s="9" t="s">
        <v>10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.75" hidden="false" customHeight="true" outlineLevel="0" collapsed="false"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customFormat="false" ht="15.75" hidden="false" customHeight="true" outlineLevel="0" collapsed="false">
      <c r="B10" s="11" t="s">
        <v>12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customFormat="false" ht="15.75" hidden="false" customHeight="true" outlineLevel="0" collapsed="false">
      <c r="B11" s="12" t="s">
        <v>13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customFormat="false" ht="15.75" hidden="false" customHeight="true" outlineLevel="0" collapsed="false">
      <c r="B12" s="13" t="s">
        <v>14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customFormat="false" ht="15.75" hidden="false" customHeight="true" outlineLevel="0" collapsed="false">
      <c r="B13" s="14" t="s">
        <v>15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customFormat="false" ht="15.75" hidden="false" customHeight="true" outlineLevel="0" collapsed="false">
      <c r="B14" s="11" t="s">
        <v>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</sheetData>
  <mergeCells count="23">
    <mergeCell ref="B1:O1"/>
    <mergeCell ref="B2:O2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8:O8"/>
    <mergeCell ref="B9:O9"/>
    <mergeCell ref="B10:O10"/>
    <mergeCell ref="B11:O11"/>
    <mergeCell ref="B12:O12"/>
    <mergeCell ref="B13:O13"/>
    <mergeCell ref="B14:O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FA2"/>
    <pageSetUpPr fitToPage="false"/>
  </sheetPr>
  <dimension ref="A1:Q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1" activeCellId="0" sqref="D71"/>
    </sheetView>
  </sheetViews>
  <sheetFormatPr defaultColWidth="9.00390625" defaultRowHeight="14.25" zeroHeight="false" outlineLevelRow="0" outlineLevelCol="0"/>
  <cols>
    <col collapsed="false" customWidth="true" hidden="false" outlineLevel="0" max="2" min="2" style="1" width="24.36"/>
    <col collapsed="false" customWidth="true" hidden="false" outlineLevel="0" max="11" min="11" style="1" width="26.18"/>
  </cols>
  <sheetData>
    <row r="1" customFormat="false" ht="39.75" hidden="false" customHeight="true" outlineLevel="0" collapsed="false">
      <c r="A1" s="15" t="s">
        <v>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3" customFormat="false" ht="18" hidden="false" customHeight="true" outlineLevel="0" collapsed="false">
      <c r="A3" s="9" t="s">
        <v>18</v>
      </c>
      <c r="B3" s="9"/>
      <c r="J3" s="16" t="s">
        <v>19</v>
      </c>
      <c r="K3" s="16"/>
    </row>
    <row r="37" customFormat="false" ht="18" hidden="false" customHeight="true" outlineLevel="0" collapsed="false">
      <c r="A37" s="17" t="s">
        <v>20</v>
      </c>
      <c r="B37" s="17"/>
      <c r="J37" s="9" t="s">
        <v>21</v>
      </c>
      <c r="K37" s="9"/>
    </row>
    <row r="71" customFormat="false" ht="18" hidden="false" customHeight="true" outlineLevel="0" collapsed="false">
      <c r="A71" s="16" t="s">
        <v>22</v>
      </c>
      <c r="B71" s="16"/>
      <c r="J71" s="17" t="s">
        <v>23</v>
      </c>
      <c r="K71" s="17"/>
    </row>
    <row r="105" customFormat="false" ht="18" hidden="false" customHeight="true" outlineLevel="0" collapsed="false">
      <c r="A105" s="9" t="s">
        <v>24</v>
      </c>
      <c r="B105" s="9"/>
      <c r="J105" s="16" t="s">
        <v>25</v>
      </c>
      <c r="K105" s="16"/>
    </row>
    <row r="132" customFormat="false" ht="18" hidden="false" customHeight="true" outlineLevel="0" collapsed="false">
      <c r="A132" s="18" t="s">
        <v>26</v>
      </c>
      <c r="B132" s="18"/>
      <c r="J132" s="19" t="s">
        <v>27</v>
      </c>
      <c r="K132" s="19"/>
    </row>
  </sheetData>
  <mergeCells count="11">
    <mergeCell ref="A1:Q1"/>
    <mergeCell ref="A3:B3"/>
    <mergeCell ref="J3:K3"/>
    <mergeCell ref="A37:B37"/>
    <mergeCell ref="J37:K37"/>
    <mergeCell ref="A71:B71"/>
    <mergeCell ref="J71:K71"/>
    <mergeCell ref="A105:B105"/>
    <mergeCell ref="J105:K105"/>
    <mergeCell ref="A132:B132"/>
    <mergeCell ref="J132:K1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CB7"/>
    <pageSetUpPr fitToPage="false"/>
  </sheetPr>
  <dimension ref="A1:J128"/>
  <sheetViews>
    <sheetView showFormulas="false" showGridLines="false" showRowColHeaders="true" showZeros="true" rightToLeft="false" tabSelected="false" showOutlineSymbols="true" defaultGridColor="true" view="normal" topLeftCell="A54" colorId="64" zoomScale="100" zoomScaleNormal="100" zoomScalePageLayoutView="100" workbookViewId="0">
      <selection pane="topLeft" activeCell="F6" activeCellId="0" sqref="F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7" min="6" style="1" width="20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31.5" hidden="false" customHeight="true" outlineLevel="0" collapsed="false">
      <c r="A1" s="20" t="s">
        <v>28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9.5" hidden="false" customHeight="true" outlineLevel="0" collapsed="false">
      <c r="A2" s="21" t="s">
        <v>29</v>
      </c>
      <c r="B2" s="21" t="s">
        <v>30</v>
      </c>
      <c r="C2" s="21" t="s">
        <v>31</v>
      </c>
      <c r="D2" s="21" t="s">
        <v>32</v>
      </c>
      <c r="E2" s="21" t="s">
        <v>33</v>
      </c>
      <c r="F2" s="21" t="s">
        <v>34</v>
      </c>
      <c r="G2" s="21" t="s">
        <v>35</v>
      </c>
      <c r="H2" s="21" t="s">
        <v>36</v>
      </c>
      <c r="I2" s="21" t="s">
        <v>37</v>
      </c>
      <c r="J2" s="21" t="s">
        <v>38</v>
      </c>
    </row>
    <row r="3" customFormat="false" ht="15" hidden="false" customHeight="true" outlineLevel="0" collapsed="false">
      <c r="A3" s="22" t="s">
        <v>39</v>
      </c>
      <c r="B3" s="23" t="n">
        <f aca="false">COUNTIF('Raw Data (Preview)'!$B$3:$B$52,A3)</f>
        <v>0</v>
      </c>
      <c r="C3" s="24" t="str">
        <f aca="false">IF(B3=0,"—",AVERAGEIF('Raw Data (Preview)'!$B$3:$B$52,A3,'Raw Data (Preview)'!$E$3:$E$52))</f>
        <v>—</v>
      </c>
      <c r="D3" s="24" t="str">
        <f aca="false">IF(B3=0,"—",AVERAGEIF('Raw Data (Preview)'!$B$3:$B$52,A3,'Raw Data (Preview)'!$F$3:$F$52))</f>
        <v>—</v>
      </c>
      <c r="E3" s="25" t="str">
        <f aca="false">IF(B3=0,"—",AVERAGEIF('Raw Data (Preview)'!$B$3:$B$52,A3,'Raw Data (Preview)'!$I$3:$I$52))</f>
        <v>—</v>
      </c>
      <c r="F3" s="25" t="str">
        <f aca="false">IF(B3=0,"—",AVERAGEIF('Raw Data (Preview)'!$B$3:$B$52,A3,'Raw Data (Preview)'!$G$3:$G$52))</f>
        <v>—</v>
      </c>
      <c r="G3" s="25" t="str">
        <f aca="false">IF(B3=0,"—",AVERAGEIF('Raw Data (Preview)'!$B$3:$B$52,A3,'Raw Data (Preview)'!$H$3:$H$52))</f>
        <v>—</v>
      </c>
      <c r="H3" s="26" t="str">
        <f aca="false">IF(B3=0,"—",IFERROR(AVERAGEIF('Raw Data (Preview)'!$B$3:$B$52,A3,'Raw Data (Preview)'!$L$3:$L$52),"—"))</f>
        <v>—</v>
      </c>
      <c r="I3" s="26" t="str">
        <f aca="false">IF(B3=0,"—",IFERROR(AVERAGEIF('Raw Data (Preview)'!$B$3:$B$52,A3,'Raw Data (Preview)'!$L$3:$L$52),"—"))</f>
        <v>—</v>
      </c>
      <c r="J3" s="25" t="str">
        <f aca="false">IF(B3=0,"—",IFERROR(F3/C3,"—"))</f>
        <v>—</v>
      </c>
    </row>
    <row r="4" customFormat="false" ht="15" hidden="false" customHeight="true" outlineLevel="0" collapsed="false">
      <c r="A4" s="27" t="s">
        <v>40</v>
      </c>
      <c r="B4" s="28" t="n">
        <f aca="false">COUNTIF('Raw Data (Preview)'!$B$3:$B$52,A4)</f>
        <v>11</v>
      </c>
      <c r="C4" s="29" t="n">
        <f aca="false">IF(B4=0,"—",AVERAGEIF('Raw Data (Preview)'!$B$3:$B$52,A4,'Raw Data (Preview)'!$E$3:$E$52))</f>
        <v>1988.54545454545</v>
      </c>
      <c r="D4" s="29" t="n">
        <f aca="false">IF(B4=0,"—",AVERAGEIF('Raw Data (Preview)'!$B$3:$B$52,A4,'Raw Data (Preview)'!$F$3:$F$52))</f>
        <v>1.36363636363636</v>
      </c>
      <c r="E4" s="30" t="n">
        <f aca="false">IF(B4=0,"—",AVERAGEIF('Raw Data (Preview)'!$B$3:$B$52,A4,'Raw Data (Preview)'!$I$3:$I$52))</f>
        <v>131.353636363636</v>
      </c>
      <c r="F4" s="30" t="n">
        <f aca="false">IF(B4=0,"—",AVERAGEIF('Raw Data (Preview)'!$B$3:$B$52,A4,'Raw Data (Preview)'!$G$3:$G$52))</f>
        <v>868.347272727273</v>
      </c>
      <c r="G4" s="30" t="n">
        <f aca="false">IF(B4=0,"—",AVERAGEIF('Raw Data (Preview)'!$B$3:$B$52,A4,'Raw Data (Preview)'!$H$3:$H$52))</f>
        <v>416.094545454545</v>
      </c>
      <c r="H4" s="31" t="n">
        <f aca="false">IF(B4=0,"—",IFERROR(AVERAGEIF('Raw Data (Preview)'!$B$3:$B$52,A4,'Raw Data (Preview)'!$L$3:$L$52),"—"))</f>
        <v>516.14243352375</v>
      </c>
      <c r="I4" s="31" t="n">
        <f aca="false">IF(B4=0,"—",IFERROR(AVERAGEIF('Raw Data (Preview)'!$B$3:$B$52,A4,'Raw Data (Preview)'!$L$3:$L$52),"—"))</f>
        <v>516.14243352375</v>
      </c>
      <c r="J4" s="30" t="n">
        <f aca="false">IF(B4=0,"—",IFERROR(F4/C4,"—"))</f>
        <v>0.436674590838438</v>
      </c>
    </row>
    <row r="5" customFormat="false" ht="15" hidden="false" customHeight="true" outlineLevel="0" collapsed="false">
      <c r="A5" s="22" t="s">
        <v>41</v>
      </c>
      <c r="B5" s="23" t="n">
        <f aca="false">COUNTIF('Raw Data (Preview)'!$B$3:$B$52,A5)</f>
        <v>0</v>
      </c>
      <c r="C5" s="24" t="str">
        <f aca="false">IF(B5=0,"—",AVERAGEIF('Raw Data (Preview)'!$B$3:$B$52,A5,'Raw Data (Preview)'!$E$3:$E$52))</f>
        <v>—</v>
      </c>
      <c r="D5" s="24" t="str">
        <f aca="false">IF(B5=0,"—",AVERAGEIF('Raw Data (Preview)'!$B$3:$B$52,A5,'Raw Data (Preview)'!$F$3:$F$52))</f>
        <v>—</v>
      </c>
      <c r="E5" s="25" t="str">
        <f aca="false">IF(B5=0,"—",AVERAGEIF('Raw Data (Preview)'!$B$3:$B$52,A5,'Raw Data (Preview)'!$I$3:$I$52))</f>
        <v>—</v>
      </c>
      <c r="F5" s="25" t="str">
        <f aca="false">IF(B5=0,"—",AVERAGEIF('Raw Data (Preview)'!$B$3:$B$52,A5,'Raw Data (Preview)'!$G$3:$G$52))</f>
        <v>—</v>
      </c>
      <c r="G5" s="25" t="str">
        <f aca="false">IF(B5=0,"—",AVERAGEIF('Raw Data (Preview)'!$B$3:$B$52,A5,'Raw Data (Preview)'!$H$3:$H$52))</f>
        <v>—</v>
      </c>
      <c r="H5" s="26" t="str">
        <f aca="false">IF(B5=0,"—",IFERROR(AVERAGEIF('Raw Data (Preview)'!$B$3:$B$52,A5,'Raw Data (Preview)'!$L$3:$L$52),"—"))</f>
        <v>—</v>
      </c>
      <c r="I5" s="26" t="str">
        <f aca="false">IF(B5=0,"—",IFERROR(AVERAGEIF('Raw Data (Preview)'!$B$3:$B$52,A5,'Raw Data (Preview)'!$L$3:$L$52),"—"))</f>
        <v>—</v>
      </c>
      <c r="J5" s="25" t="str">
        <f aca="false">IF(B5=0,"—",IFERROR(F5/C5,"—"))</f>
        <v>—</v>
      </c>
    </row>
    <row r="6" customFormat="false" ht="15" hidden="false" customHeight="true" outlineLevel="0" collapsed="false">
      <c r="A6" s="27" t="s">
        <v>42</v>
      </c>
      <c r="B6" s="28" t="n">
        <f aca="false">COUNTIF('Raw Data (Preview)'!$B$3:$B$52,A6)</f>
        <v>0</v>
      </c>
      <c r="C6" s="29" t="str">
        <f aca="false">IF(B6=0,"—",AVERAGEIF('Raw Data (Preview)'!$B$3:$B$52,A6,'Raw Data (Preview)'!$E$3:$E$52))</f>
        <v>—</v>
      </c>
      <c r="D6" s="29" t="str">
        <f aca="false">IF(B6=0,"—",AVERAGEIF('Raw Data (Preview)'!$B$3:$B$52,A6,'Raw Data (Preview)'!$F$3:$F$52))</f>
        <v>—</v>
      </c>
      <c r="E6" s="30" t="str">
        <f aca="false">IF(B6=0,"—",AVERAGEIF('Raw Data (Preview)'!$B$3:$B$52,A6,'Raw Data (Preview)'!$I$3:$I$52))</f>
        <v>—</v>
      </c>
      <c r="F6" s="30" t="str">
        <f aca="false">IF(B6=0,"—",AVERAGEIF('Raw Data (Preview)'!$B$3:$B$52,A6,'Raw Data (Preview)'!$G$3:$G$52))</f>
        <v>—</v>
      </c>
      <c r="G6" s="30" t="str">
        <f aca="false">IF(B6=0,"—",AVERAGEIF('Raw Data (Preview)'!$B$3:$B$52,A6,'Raw Data (Preview)'!$H$3:$H$52))</f>
        <v>—</v>
      </c>
      <c r="H6" s="31" t="str">
        <f aca="false">IF(B6=0,"—",IFERROR(AVERAGEIF('Raw Data (Preview)'!$B$3:$B$52,A6,'Raw Data (Preview)'!$L$3:$L$52),"—"))</f>
        <v>—</v>
      </c>
      <c r="I6" s="31" t="str">
        <f aca="false">IF(B6=0,"—",IFERROR(AVERAGEIF('Raw Data (Preview)'!$B$3:$B$52,A6,'Raw Data (Preview)'!$L$3:$L$52),"—"))</f>
        <v>—</v>
      </c>
      <c r="J6" s="30" t="str">
        <f aca="false">IF(B6=0,"—",IFERROR(F6/C6,"—"))</f>
        <v>—</v>
      </c>
    </row>
    <row r="7" customFormat="false" ht="15" hidden="false" customHeight="true" outlineLevel="0" collapsed="false">
      <c r="A7" s="22" t="s">
        <v>43</v>
      </c>
      <c r="B7" s="23" t="n">
        <f aca="false">COUNTIF('Raw Data (Preview)'!$B$3:$B$52,A7)</f>
        <v>1</v>
      </c>
      <c r="C7" s="24" t="n">
        <f aca="false">IF(B7=0,"—",AVERAGEIF('Raw Data (Preview)'!$B$3:$B$52,A7,'Raw Data (Preview)'!$E$3:$E$52))</f>
        <v>453</v>
      </c>
      <c r="D7" s="24" t="n">
        <f aca="false">IF(B7=0,"—",AVERAGEIF('Raw Data (Preview)'!$B$3:$B$52,A7,'Raw Data (Preview)'!$F$3:$F$52))</f>
        <v>2</v>
      </c>
      <c r="E7" s="25" t="n">
        <f aca="false">IF(B7=0,"—",AVERAGEIF('Raw Data (Preview)'!$B$3:$B$52,A7,'Raw Data (Preview)'!$I$3:$I$52))</f>
        <v>39.99</v>
      </c>
      <c r="F7" s="25" t="n">
        <f aca="false">IF(B7=0,"—",AVERAGEIF('Raw Data (Preview)'!$B$3:$B$52,A7,'Raw Data (Preview)'!$G$3:$G$52))</f>
        <v>355.13</v>
      </c>
      <c r="G7" s="25" t="n">
        <f aca="false">IF(B7=0,"—",AVERAGEIF('Raw Data (Preview)'!$B$3:$B$52,A7,'Raw Data (Preview)'!$H$3:$H$52))</f>
        <v>168.6</v>
      </c>
      <c r="H7" s="26" t="n">
        <f aca="false">IF(B7=0,"—",IFERROR(AVERAGEIF('Raw Data (Preview)'!$B$3:$B$52,A7,'Raw Data (Preview)'!$L$3:$L$52),"—"))</f>
        <v>788.047011752938</v>
      </c>
      <c r="I7" s="26" t="n">
        <f aca="false">IF(B7=0,"—",IFERROR(AVERAGEIF('Raw Data (Preview)'!$B$3:$B$52,A7,'Raw Data (Preview)'!$L$3:$L$52),"—"))</f>
        <v>788.047011752938</v>
      </c>
      <c r="J7" s="25" t="n">
        <f aca="false">IF(B7=0,"—",IFERROR(F7/C7,"—"))</f>
        <v>0.783951434878587</v>
      </c>
    </row>
    <row r="8" customFormat="false" ht="15" hidden="false" customHeight="true" outlineLevel="0" collapsed="false">
      <c r="A8" s="27" t="s">
        <v>44</v>
      </c>
      <c r="B8" s="28" t="n">
        <f aca="false">COUNTIF('Raw Data (Preview)'!$B$3:$B$52,A8)</f>
        <v>14</v>
      </c>
      <c r="C8" s="29" t="n">
        <f aca="false">IF(B8=0,"—",AVERAGEIF('Raw Data (Preview)'!$B$3:$B$52,A8,'Raw Data (Preview)'!$E$3:$E$52))</f>
        <v>344.928571428571</v>
      </c>
      <c r="D8" s="29" t="n">
        <f aca="false">IF(B8=0,"—",AVERAGEIF('Raw Data (Preview)'!$B$3:$B$52,A8,'Raw Data (Preview)'!$F$3:$F$52))</f>
        <v>1.92857142857143</v>
      </c>
      <c r="E8" s="30" t="n">
        <f aca="false">IF(B8=0,"—",AVERAGEIF('Raw Data (Preview)'!$B$3:$B$52,A8,'Raw Data (Preview)'!$I$3:$I$52))</f>
        <v>41.7042857142857</v>
      </c>
      <c r="F8" s="30" t="n">
        <f aca="false">IF(B8=0,"—",AVERAGEIF('Raw Data (Preview)'!$B$3:$B$52,A8,'Raw Data (Preview)'!$G$3:$G$52))</f>
        <v>208.811428571429</v>
      </c>
      <c r="G8" s="30" t="n">
        <f aca="false">IF(B8=0,"—",AVERAGEIF('Raw Data (Preview)'!$B$3:$B$52,A8,'Raw Data (Preview)'!$H$3:$H$52))</f>
        <v>136.893571428571</v>
      </c>
      <c r="H8" s="31" t="n">
        <f aca="false">IF(B8=0,"—",IFERROR(AVERAGEIF('Raw Data (Preview)'!$B$3:$B$52,A8,'Raw Data (Preview)'!$L$3:$L$52),"—"))</f>
        <v>383.461247514319</v>
      </c>
      <c r="I8" s="31" t="n">
        <f aca="false">IF(B8=0,"—",IFERROR(AVERAGEIF('Raw Data (Preview)'!$B$3:$B$52,A8,'Raw Data (Preview)'!$L$3:$L$52),"—"))</f>
        <v>383.461247514319</v>
      </c>
      <c r="J8" s="30" t="n">
        <f aca="false">IF(B8=0,"—",IFERROR(F8/C8,"—"))</f>
        <v>0.605375854214123</v>
      </c>
    </row>
    <row r="9" customFormat="false" ht="15" hidden="false" customHeight="true" outlineLevel="0" collapsed="false">
      <c r="A9" s="22" t="s">
        <v>45</v>
      </c>
      <c r="B9" s="23" t="n">
        <f aca="false">COUNTIF('Raw Data (Preview)'!$B$3:$B$52,A9)</f>
        <v>1</v>
      </c>
      <c r="C9" s="24" t="n">
        <f aca="false">IF(B9=0,"—",AVERAGEIF('Raw Data (Preview)'!$B$3:$B$52,A9,'Raw Data (Preview)'!$E$3:$E$52))</f>
        <v>1080</v>
      </c>
      <c r="D9" s="24" t="n">
        <f aca="false">IF(B9=0,"—",AVERAGEIF('Raw Data (Preview)'!$B$3:$B$52,A9,'Raw Data (Preview)'!$F$3:$F$52))</f>
        <v>0</v>
      </c>
      <c r="E9" s="25" t="n">
        <f aca="false">IF(B9=0,"—",AVERAGEIF('Raw Data (Preview)'!$B$3:$B$52,A9,'Raw Data (Preview)'!$I$3:$I$52))</f>
        <v>99.99</v>
      </c>
      <c r="F9" s="25" t="n">
        <f aca="false">IF(B9=0,"—",AVERAGEIF('Raw Data (Preview)'!$B$3:$B$52,A9,'Raw Data (Preview)'!$G$3:$G$52))</f>
        <v>274.79</v>
      </c>
      <c r="G9" s="25" t="n">
        <f aca="false">IF(B9=0,"—",AVERAGEIF('Raw Data (Preview)'!$B$3:$B$52,A9,'Raw Data (Preview)'!$H$3:$H$52))</f>
        <v>185.33</v>
      </c>
      <c r="H9" s="26" t="n">
        <f aca="false">IF(B9=0,"—",IFERROR(AVERAGEIF('Raw Data (Preview)'!$B$3:$B$52,A9,'Raw Data (Preview)'!$L$3:$L$52),"—"))</f>
        <v>174.817481748175</v>
      </c>
      <c r="I9" s="26" t="n">
        <f aca="false">IF(B9=0,"—",IFERROR(AVERAGEIF('Raw Data (Preview)'!$B$3:$B$52,A9,'Raw Data (Preview)'!$L$3:$L$52),"—"))</f>
        <v>174.817481748175</v>
      </c>
      <c r="J9" s="25" t="n">
        <f aca="false">IF(B9=0,"—",IFERROR(F9/C9,"—"))</f>
        <v>0.254435185185185</v>
      </c>
    </row>
    <row r="10" customFormat="false" ht="15" hidden="false" customHeight="true" outlineLevel="0" collapsed="false">
      <c r="A10" s="27" t="s">
        <v>46</v>
      </c>
      <c r="B10" s="28" t="n">
        <f aca="false">COUNTIF('Raw Data (Preview)'!$B$3:$B$52,A10)</f>
        <v>0</v>
      </c>
      <c r="C10" s="29" t="str">
        <f aca="false">IF(B10=0,"—",AVERAGEIF('Raw Data (Preview)'!$B$3:$B$52,A10,'Raw Data (Preview)'!$E$3:$E$52))</f>
        <v>—</v>
      </c>
      <c r="D10" s="29" t="str">
        <f aca="false">IF(B10=0,"—",AVERAGEIF('Raw Data (Preview)'!$B$3:$B$52,A10,'Raw Data (Preview)'!$F$3:$F$52))</f>
        <v>—</v>
      </c>
      <c r="E10" s="30" t="str">
        <f aca="false">IF(B10=0,"—",AVERAGEIF('Raw Data (Preview)'!$B$3:$B$52,A10,'Raw Data (Preview)'!$I$3:$I$52))</f>
        <v>—</v>
      </c>
      <c r="F10" s="30" t="str">
        <f aca="false">IF(B10=0,"—",AVERAGEIF('Raw Data (Preview)'!$B$3:$B$52,A10,'Raw Data (Preview)'!$G$3:$G$52))</f>
        <v>—</v>
      </c>
      <c r="G10" s="30" t="str">
        <f aca="false">IF(B10=0,"—",AVERAGEIF('Raw Data (Preview)'!$B$3:$B$52,A10,'Raw Data (Preview)'!$H$3:$H$52))</f>
        <v>—</v>
      </c>
      <c r="H10" s="31" t="str">
        <f aca="false">IF(B10=0,"—",IFERROR(AVERAGEIF('Raw Data (Preview)'!$B$3:$B$52,A10,'Raw Data (Preview)'!$L$3:$L$52),"—"))</f>
        <v>—</v>
      </c>
      <c r="I10" s="31" t="str">
        <f aca="false">IF(B10=0,"—",IFERROR(AVERAGEIF('Raw Data (Preview)'!$B$3:$B$52,A10,'Raw Data (Preview)'!$L$3:$L$52),"—"))</f>
        <v>—</v>
      </c>
      <c r="J10" s="30" t="str">
        <f aca="false">IF(B10=0,"—",IFERROR(F10/C10,"—"))</f>
        <v>—</v>
      </c>
    </row>
    <row r="11" customFormat="false" ht="15" hidden="false" customHeight="true" outlineLevel="0" collapsed="false">
      <c r="A11" s="22" t="s">
        <v>47</v>
      </c>
      <c r="B11" s="23" t="n">
        <f aca="false">COUNTIF('Raw Data (Preview)'!$B$3:$B$52,A11)</f>
        <v>1</v>
      </c>
      <c r="C11" s="24" t="n">
        <f aca="false">IF(B11=0,"—",AVERAGEIF('Raw Data (Preview)'!$B$3:$B$52,A11,'Raw Data (Preview)'!$E$3:$E$52))</f>
        <v>906</v>
      </c>
      <c r="D11" s="24" t="n">
        <f aca="false">IF(B11=0,"—",AVERAGEIF('Raw Data (Preview)'!$B$3:$B$52,A11,'Raw Data (Preview)'!$F$3:$F$52))</f>
        <v>8</v>
      </c>
      <c r="E11" s="25" t="n">
        <f aca="false">IF(B11=0,"—",AVERAGEIF('Raw Data (Preview)'!$B$3:$B$52,A11,'Raw Data (Preview)'!$I$3:$I$52))</f>
        <v>89.99</v>
      </c>
      <c r="F11" s="25" t="n">
        <f aca="false">IF(B11=0,"—",AVERAGEIF('Raw Data (Preview)'!$B$3:$B$52,A11,'Raw Data (Preview)'!$G$3:$G$52))</f>
        <v>436.6</v>
      </c>
      <c r="G11" s="25" t="n">
        <f aca="false">IF(B11=0,"—",AVERAGEIF('Raw Data (Preview)'!$B$3:$B$52,A11,'Raw Data (Preview)'!$H$3:$H$52))</f>
        <v>177.6</v>
      </c>
      <c r="H11" s="26" t="n">
        <f aca="false">IF(B11=0,"—",IFERROR(AVERAGEIF('Raw Data (Preview)'!$B$3:$B$52,A11,'Raw Data (Preview)'!$L$3:$L$52),"—"))</f>
        <v>385.165018335371</v>
      </c>
      <c r="I11" s="26" t="n">
        <f aca="false">IF(B11=0,"—",IFERROR(AVERAGEIF('Raw Data (Preview)'!$B$3:$B$52,A11,'Raw Data (Preview)'!$L$3:$L$52),"—"))</f>
        <v>385.165018335371</v>
      </c>
      <c r="J11" s="25" t="n">
        <f aca="false">IF(B11=0,"—",IFERROR(F11/C11,"—"))</f>
        <v>0.481898454746137</v>
      </c>
    </row>
    <row r="12" customFormat="false" ht="15" hidden="false" customHeight="true" outlineLevel="0" collapsed="false">
      <c r="A12" s="27" t="s">
        <v>48</v>
      </c>
      <c r="B12" s="28" t="n">
        <f aca="false">COUNTIF('Raw Data (Preview)'!$B$3:$B$52,A12)</f>
        <v>1</v>
      </c>
      <c r="C12" s="29" t="n">
        <f aca="false">IF(B12=0,"—",AVERAGEIF('Raw Data (Preview)'!$B$3:$B$52,A12,'Raw Data (Preview)'!$E$3:$E$52))</f>
        <v>708</v>
      </c>
      <c r="D12" s="29" t="n">
        <f aca="false">IF(B12=0,"—",AVERAGEIF('Raw Data (Preview)'!$B$3:$B$52,A12,'Raw Data (Preview)'!$F$3:$F$52))</f>
        <v>4</v>
      </c>
      <c r="E12" s="30" t="n">
        <f aca="false">IF(B12=0,"—",AVERAGEIF('Raw Data (Preview)'!$B$3:$B$52,A12,'Raw Data (Preview)'!$I$3:$I$52))</f>
        <v>119.99</v>
      </c>
      <c r="F12" s="30" t="n">
        <f aca="false">IF(B12=0,"—",AVERAGEIF('Raw Data (Preview)'!$B$3:$B$52,A12,'Raw Data (Preview)'!$G$3:$G$52))</f>
        <v>434.53</v>
      </c>
      <c r="G12" s="30" t="n">
        <f aca="false">IF(B12=0,"—",AVERAGEIF('Raw Data (Preview)'!$B$3:$B$52,A12,'Raw Data (Preview)'!$H$3:$H$52))</f>
        <v>335.47</v>
      </c>
      <c r="H12" s="31" t="n">
        <f aca="false">IF(B12=0,"—",IFERROR(AVERAGEIF('Raw Data (Preview)'!$B$3:$B$52,A12,'Raw Data (Preview)'!$L$3:$L$52),"—"))</f>
        <v>262.138511542629</v>
      </c>
      <c r="I12" s="31" t="n">
        <f aca="false">IF(B12=0,"—",IFERROR(AVERAGEIF('Raw Data (Preview)'!$B$3:$B$52,A12,'Raw Data (Preview)'!$L$3:$L$52),"—"))</f>
        <v>262.138511542629</v>
      </c>
      <c r="J12" s="30" t="n">
        <f aca="false">IF(B12=0,"—",IFERROR(F12/C12,"—"))</f>
        <v>0.613742937853107</v>
      </c>
    </row>
    <row r="13" customFormat="false" ht="15" hidden="false" customHeight="true" outlineLevel="0" collapsed="false">
      <c r="A13" s="22" t="s">
        <v>49</v>
      </c>
      <c r="B13" s="23" t="n">
        <f aca="false">COUNTIF('Raw Data (Preview)'!$B$3:$B$52,A13)</f>
        <v>0</v>
      </c>
      <c r="C13" s="24" t="str">
        <f aca="false">IF(B13=0,"—",AVERAGEIF('Raw Data (Preview)'!$B$3:$B$52,A13,'Raw Data (Preview)'!$E$3:$E$52))</f>
        <v>—</v>
      </c>
      <c r="D13" s="24" t="str">
        <f aca="false">IF(B13=0,"—",AVERAGEIF('Raw Data (Preview)'!$B$3:$B$52,A13,'Raw Data (Preview)'!$F$3:$F$52))</f>
        <v>—</v>
      </c>
      <c r="E13" s="25" t="str">
        <f aca="false">IF(B13=0,"—",AVERAGEIF('Raw Data (Preview)'!$B$3:$B$52,A13,'Raw Data (Preview)'!$I$3:$I$52))</f>
        <v>—</v>
      </c>
      <c r="F13" s="25" t="str">
        <f aca="false">IF(B13=0,"—",AVERAGEIF('Raw Data (Preview)'!$B$3:$B$52,A13,'Raw Data (Preview)'!$G$3:$G$52))</f>
        <v>—</v>
      </c>
      <c r="G13" s="25" t="str">
        <f aca="false">IF(B13=0,"—",AVERAGEIF('Raw Data (Preview)'!$B$3:$B$52,A13,'Raw Data (Preview)'!$H$3:$H$52))</f>
        <v>—</v>
      </c>
      <c r="H13" s="26" t="str">
        <f aca="false">IF(B13=0,"—",IFERROR(AVERAGEIF('Raw Data (Preview)'!$B$3:$B$52,A13,'Raw Data (Preview)'!$L$3:$L$52),"—"))</f>
        <v>—</v>
      </c>
      <c r="I13" s="26" t="str">
        <f aca="false">IF(B13=0,"—",IFERROR(AVERAGEIF('Raw Data (Preview)'!$B$3:$B$52,A13,'Raw Data (Preview)'!$L$3:$L$52),"—"))</f>
        <v>—</v>
      </c>
      <c r="J13" s="25" t="str">
        <f aca="false">IF(B13=0,"—",IFERROR(F13/C13,"—"))</f>
        <v>—</v>
      </c>
    </row>
    <row r="14" customFormat="false" ht="15" hidden="false" customHeight="true" outlineLevel="0" collapsed="false">
      <c r="A14" s="27" t="s">
        <v>50</v>
      </c>
      <c r="B14" s="28" t="n">
        <f aca="false">COUNTIF('Raw Data (Preview)'!$B$3:$B$52,A14)</f>
        <v>0</v>
      </c>
      <c r="C14" s="29" t="str">
        <f aca="false">IF(B14=0,"—",AVERAGEIF('Raw Data (Preview)'!$B$3:$B$52,A14,'Raw Data (Preview)'!$E$3:$E$52))</f>
        <v>—</v>
      </c>
      <c r="D14" s="29" t="str">
        <f aca="false">IF(B14=0,"—",AVERAGEIF('Raw Data (Preview)'!$B$3:$B$52,A14,'Raw Data (Preview)'!$F$3:$F$52))</f>
        <v>—</v>
      </c>
      <c r="E14" s="30" t="str">
        <f aca="false">IF(B14=0,"—",AVERAGEIF('Raw Data (Preview)'!$B$3:$B$52,A14,'Raw Data (Preview)'!$I$3:$I$52))</f>
        <v>—</v>
      </c>
      <c r="F14" s="30" t="str">
        <f aca="false">IF(B14=0,"—",AVERAGEIF('Raw Data (Preview)'!$B$3:$B$52,A14,'Raw Data (Preview)'!$G$3:$G$52))</f>
        <v>—</v>
      </c>
      <c r="G14" s="30" t="str">
        <f aca="false">IF(B14=0,"—",AVERAGEIF('Raw Data (Preview)'!$B$3:$B$52,A14,'Raw Data (Preview)'!$H$3:$H$52))</f>
        <v>—</v>
      </c>
      <c r="H14" s="31" t="str">
        <f aca="false">IF(B14=0,"—",IFERROR(AVERAGEIF('Raw Data (Preview)'!$B$3:$B$52,A14,'Raw Data (Preview)'!$L$3:$L$52),"—"))</f>
        <v>—</v>
      </c>
      <c r="I14" s="31" t="str">
        <f aca="false">IF(B14=0,"—",IFERROR(AVERAGEIF('Raw Data (Preview)'!$B$3:$B$52,A14,'Raw Data (Preview)'!$L$3:$L$52),"—"))</f>
        <v>—</v>
      </c>
      <c r="J14" s="30" t="str">
        <f aca="false">IF(B14=0,"—",IFERROR(F14/C14,"—"))</f>
        <v>—</v>
      </c>
    </row>
    <row r="15" customFormat="false" ht="15" hidden="false" customHeight="true" outlineLevel="0" collapsed="false">
      <c r="A15" s="22" t="s">
        <v>51</v>
      </c>
      <c r="B15" s="23" t="n">
        <f aca="false">COUNTIF('Raw Data (Preview)'!$B$3:$B$52,A15)</f>
        <v>0</v>
      </c>
      <c r="C15" s="24" t="str">
        <f aca="false">IF(B15=0,"—",AVERAGEIF('Raw Data (Preview)'!$B$3:$B$52,A15,'Raw Data (Preview)'!$E$3:$E$52))</f>
        <v>—</v>
      </c>
      <c r="D15" s="24" t="str">
        <f aca="false">IF(B15=0,"—",AVERAGEIF('Raw Data (Preview)'!$B$3:$B$52,A15,'Raw Data (Preview)'!$F$3:$F$52))</f>
        <v>—</v>
      </c>
      <c r="E15" s="25" t="str">
        <f aca="false">IF(B15=0,"—",AVERAGEIF('Raw Data (Preview)'!$B$3:$B$52,A15,'Raw Data (Preview)'!$I$3:$I$52))</f>
        <v>—</v>
      </c>
      <c r="F15" s="25" t="str">
        <f aca="false">IF(B15=0,"—",AVERAGEIF('Raw Data (Preview)'!$B$3:$B$52,A15,'Raw Data (Preview)'!$G$3:$G$52))</f>
        <v>—</v>
      </c>
      <c r="G15" s="25" t="str">
        <f aca="false">IF(B15=0,"—",AVERAGEIF('Raw Data (Preview)'!$B$3:$B$52,A15,'Raw Data (Preview)'!$H$3:$H$52))</f>
        <v>—</v>
      </c>
      <c r="H15" s="26" t="str">
        <f aca="false">IF(B15=0,"—",IFERROR(AVERAGEIF('Raw Data (Preview)'!$B$3:$B$52,A15,'Raw Data (Preview)'!$L$3:$L$52),"—"))</f>
        <v>—</v>
      </c>
      <c r="I15" s="26" t="str">
        <f aca="false">IF(B15=0,"—",IFERROR(AVERAGEIF('Raw Data (Preview)'!$B$3:$B$52,A15,'Raw Data (Preview)'!$L$3:$L$52),"—"))</f>
        <v>—</v>
      </c>
      <c r="J15" s="25" t="str">
        <f aca="false">IF(B15=0,"—",IFERROR(F15/C15,"—"))</f>
        <v>—</v>
      </c>
    </row>
    <row r="16" customFormat="false" ht="15" hidden="false" customHeight="true" outlineLevel="0" collapsed="false">
      <c r="A16" s="27" t="s">
        <v>52</v>
      </c>
      <c r="B16" s="28" t="n">
        <f aca="false">COUNTIF('Raw Data (Preview)'!$B$3:$B$52,A16)</f>
        <v>0</v>
      </c>
      <c r="C16" s="29" t="str">
        <f aca="false">IF(B16=0,"—",AVERAGEIF('Raw Data (Preview)'!$B$3:$B$52,A16,'Raw Data (Preview)'!$E$3:$E$52))</f>
        <v>—</v>
      </c>
      <c r="D16" s="29" t="str">
        <f aca="false">IF(B16=0,"—",AVERAGEIF('Raw Data (Preview)'!$B$3:$B$52,A16,'Raw Data (Preview)'!$F$3:$F$52))</f>
        <v>—</v>
      </c>
      <c r="E16" s="30" t="str">
        <f aca="false">IF(B16=0,"—",AVERAGEIF('Raw Data (Preview)'!$B$3:$B$52,A16,'Raw Data (Preview)'!$I$3:$I$52))</f>
        <v>—</v>
      </c>
      <c r="F16" s="30" t="str">
        <f aca="false">IF(B16=0,"—",AVERAGEIF('Raw Data (Preview)'!$B$3:$B$52,A16,'Raw Data (Preview)'!$G$3:$G$52))</f>
        <v>—</v>
      </c>
      <c r="G16" s="30" t="str">
        <f aca="false">IF(B16=0,"—",AVERAGEIF('Raw Data (Preview)'!$B$3:$B$52,A16,'Raw Data (Preview)'!$H$3:$H$52))</f>
        <v>—</v>
      </c>
      <c r="H16" s="31" t="str">
        <f aca="false">IF(B16=0,"—",IFERROR(AVERAGEIF('Raw Data (Preview)'!$B$3:$B$52,A16,'Raw Data (Preview)'!$L$3:$L$52),"—"))</f>
        <v>—</v>
      </c>
      <c r="I16" s="31" t="str">
        <f aca="false">IF(B16=0,"—",IFERROR(AVERAGEIF('Raw Data (Preview)'!$B$3:$B$52,A16,'Raw Data (Preview)'!$L$3:$L$52),"—"))</f>
        <v>—</v>
      </c>
      <c r="J16" s="30" t="str">
        <f aca="false">IF(B16=0,"—",IFERROR(F16/C16,"—"))</f>
        <v>—</v>
      </c>
    </row>
    <row r="17" customFormat="false" ht="15" hidden="false" customHeight="true" outlineLevel="0" collapsed="false">
      <c r="A17" s="22" t="s">
        <v>53</v>
      </c>
      <c r="B17" s="23" t="n">
        <f aca="false">COUNTIF('Raw Data (Preview)'!$B$3:$B$52,A17)</f>
        <v>16</v>
      </c>
      <c r="C17" s="24" t="n">
        <f aca="false">IF(B17=0,"—",AVERAGEIF('Raw Data (Preview)'!$B$3:$B$52,A17,'Raw Data (Preview)'!$E$3:$E$52))</f>
        <v>1863.9375</v>
      </c>
      <c r="D17" s="24" t="n">
        <f aca="false">IF(B17=0,"—",AVERAGEIF('Raw Data (Preview)'!$B$3:$B$52,A17,'Raw Data (Preview)'!$F$3:$F$52))</f>
        <v>3.125</v>
      </c>
      <c r="E17" s="25" t="n">
        <f aca="false">IF(B17=0,"—",AVERAGEIF('Raw Data (Preview)'!$B$3:$B$52,A17,'Raw Data (Preview)'!$I$3:$I$52))</f>
        <v>177.99</v>
      </c>
      <c r="F17" s="25" t="n">
        <f aca="false">IF(B17=0,"—",AVERAGEIF('Raw Data (Preview)'!$B$3:$B$52,A17,'Raw Data (Preview)'!$G$3:$G$52))</f>
        <v>663.57</v>
      </c>
      <c r="G17" s="25" t="n">
        <f aca="false">IF(B17=0,"—",AVERAGEIF('Raw Data (Preview)'!$B$3:$B$52,A17,'Raw Data (Preview)'!$H$3:$H$52))</f>
        <v>383.199333333333</v>
      </c>
      <c r="H17" s="26" t="n">
        <f aca="false">IF(B17=0,"—",IFERROR(AVERAGEIF('Raw Data (Preview)'!$B$3:$B$52,A17,'Raw Data (Preview)'!$L$3:$L$52),"—"))</f>
        <v>417.5029644772</v>
      </c>
      <c r="I17" s="26" t="n">
        <f aca="false">IF(B17=0,"—",IFERROR(AVERAGEIF('Raw Data (Preview)'!$B$3:$B$52,A17,'Raw Data (Preview)'!$L$3:$L$52),"—"))</f>
        <v>417.5029644772</v>
      </c>
      <c r="J17" s="25" t="n">
        <f aca="false">IF(B17=0,"—",IFERROR(F17/C17,"—"))</f>
        <v>0.356004426114073</v>
      </c>
    </row>
    <row r="18" customFormat="false" ht="15" hidden="false" customHeight="true" outlineLevel="0" collapsed="false">
      <c r="A18" s="27" t="s">
        <v>54</v>
      </c>
      <c r="B18" s="28" t="n">
        <f aca="false">COUNTIF('Raw Data (Preview)'!$B$3:$B$52,A18)</f>
        <v>0</v>
      </c>
      <c r="C18" s="29" t="str">
        <f aca="false">IF(B18=0,"—",AVERAGEIF('Raw Data (Preview)'!$B$3:$B$52,A18,'Raw Data (Preview)'!$E$3:$E$52))</f>
        <v>—</v>
      </c>
      <c r="D18" s="29" t="str">
        <f aca="false">IF(B18=0,"—",AVERAGEIF('Raw Data (Preview)'!$B$3:$B$52,A18,'Raw Data (Preview)'!$F$3:$F$52))</f>
        <v>—</v>
      </c>
      <c r="E18" s="30" t="str">
        <f aca="false">IF(B18=0,"—",AVERAGEIF('Raw Data (Preview)'!$B$3:$B$52,A18,'Raw Data (Preview)'!$I$3:$I$52))</f>
        <v>—</v>
      </c>
      <c r="F18" s="30" t="str">
        <f aca="false">IF(B18=0,"—",AVERAGEIF('Raw Data (Preview)'!$B$3:$B$52,A18,'Raw Data (Preview)'!$G$3:$G$52))</f>
        <v>—</v>
      </c>
      <c r="G18" s="30" t="str">
        <f aca="false">IF(B18=0,"—",AVERAGEIF('Raw Data (Preview)'!$B$3:$B$52,A18,'Raw Data (Preview)'!$H$3:$H$52))</f>
        <v>—</v>
      </c>
      <c r="H18" s="31" t="str">
        <f aca="false">IF(B18=0,"—",IFERROR(AVERAGEIF('Raw Data (Preview)'!$B$3:$B$52,A18,'Raw Data (Preview)'!$L$3:$L$52),"—"))</f>
        <v>—</v>
      </c>
      <c r="I18" s="31" t="str">
        <f aca="false">IF(B18=0,"—",IFERROR(AVERAGEIF('Raw Data (Preview)'!$B$3:$B$52,A18,'Raw Data (Preview)'!$L$3:$L$52),"—"))</f>
        <v>—</v>
      </c>
      <c r="J18" s="30" t="str">
        <f aca="false">IF(B18=0,"—",IFERROR(F18/C18,"—"))</f>
        <v>—</v>
      </c>
    </row>
    <row r="19" customFormat="false" ht="15" hidden="false" customHeight="true" outlineLevel="0" collapsed="false">
      <c r="A19" s="22" t="s">
        <v>55</v>
      </c>
      <c r="B19" s="23" t="n">
        <f aca="false">COUNTIF('Raw Data (Preview)'!$B$3:$B$52,A19)</f>
        <v>0</v>
      </c>
      <c r="C19" s="24" t="str">
        <f aca="false">IF(B19=0,"—",AVERAGEIF('Raw Data (Preview)'!$B$3:$B$52,A19,'Raw Data (Preview)'!$E$3:$E$52))</f>
        <v>—</v>
      </c>
      <c r="D19" s="24" t="str">
        <f aca="false">IF(B19=0,"—",AVERAGEIF('Raw Data (Preview)'!$B$3:$B$52,A19,'Raw Data (Preview)'!$F$3:$F$52))</f>
        <v>—</v>
      </c>
      <c r="E19" s="25" t="str">
        <f aca="false">IF(B19=0,"—",AVERAGEIF('Raw Data (Preview)'!$B$3:$B$52,A19,'Raw Data (Preview)'!$I$3:$I$52))</f>
        <v>—</v>
      </c>
      <c r="F19" s="25" t="str">
        <f aca="false">IF(B19=0,"—",AVERAGEIF('Raw Data (Preview)'!$B$3:$B$52,A19,'Raw Data (Preview)'!$G$3:$G$52))</f>
        <v>—</v>
      </c>
      <c r="G19" s="25" t="str">
        <f aca="false">IF(B19=0,"—",AVERAGEIF('Raw Data (Preview)'!$B$3:$B$52,A19,'Raw Data (Preview)'!$H$3:$H$52))</f>
        <v>—</v>
      </c>
      <c r="H19" s="26" t="str">
        <f aca="false">IF(B19=0,"—",IFERROR(AVERAGEIF('Raw Data (Preview)'!$B$3:$B$52,A19,'Raw Data (Preview)'!$L$3:$L$52),"—"))</f>
        <v>—</v>
      </c>
      <c r="I19" s="26" t="str">
        <f aca="false">IF(B19=0,"—",IFERROR(AVERAGEIF('Raw Data (Preview)'!$B$3:$B$52,A19,'Raw Data (Preview)'!$L$3:$L$52),"—"))</f>
        <v>—</v>
      </c>
      <c r="J19" s="25" t="str">
        <f aca="false">IF(B19=0,"—",IFERROR(F19/C19,"—"))</f>
        <v>—</v>
      </c>
    </row>
    <row r="20" customFormat="false" ht="15" hidden="false" customHeight="true" outlineLevel="0" collapsed="false">
      <c r="A20" s="27" t="s">
        <v>56</v>
      </c>
      <c r="B20" s="28" t="n">
        <f aca="false">COUNTIF('Raw Data (Preview)'!$B$3:$B$52,A20)</f>
        <v>0</v>
      </c>
      <c r="C20" s="29" t="str">
        <f aca="false">IF(B20=0,"—",AVERAGEIF('Raw Data (Preview)'!$B$3:$B$52,A20,'Raw Data (Preview)'!$E$3:$E$52))</f>
        <v>—</v>
      </c>
      <c r="D20" s="29" t="str">
        <f aca="false">IF(B20=0,"—",AVERAGEIF('Raw Data (Preview)'!$B$3:$B$52,A20,'Raw Data (Preview)'!$F$3:$F$52))</f>
        <v>—</v>
      </c>
      <c r="E20" s="30" t="str">
        <f aca="false">IF(B20=0,"—",AVERAGEIF('Raw Data (Preview)'!$B$3:$B$52,A20,'Raw Data (Preview)'!$I$3:$I$52))</f>
        <v>—</v>
      </c>
      <c r="F20" s="30" t="str">
        <f aca="false">IF(B20=0,"—",AVERAGEIF('Raw Data (Preview)'!$B$3:$B$52,A20,'Raw Data (Preview)'!$G$3:$G$52))</f>
        <v>—</v>
      </c>
      <c r="G20" s="30" t="str">
        <f aca="false">IF(B20=0,"—",AVERAGEIF('Raw Data (Preview)'!$B$3:$B$52,A20,'Raw Data (Preview)'!$H$3:$H$52))</f>
        <v>—</v>
      </c>
      <c r="H20" s="31" t="str">
        <f aca="false">IF(B20=0,"—",IFERROR(AVERAGEIF('Raw Data (Preview)'!$B$3:$B$52,A20,'Raw Data (Preview)'!$L$3:$L$52),"—"))</f>
        <v>—</v>
      </c>
      <c r="I20" s="31" t="str">
        <f aca="false">IF(B20=0,"—",IFERROR(AVERAGEIF('Raw Data (Preview)'!$B$3:$B$52,A20,'Raw Data (Preview)'!$L$3:$L$52),"—"))</f>
        <v>—</v>
      </c>
      <c r="J20" s="30" t="str">
        <f aca="false">IF(B20=0,"—",IFERROR(F20/C20,"—"))</f>
        <v>—</v>
      </c>
    </row>
    <row r="21" customFormat="false" ht="15" hidden="false" customHeight="true" outlineLevel="0" collapsed="false">
      <c r="A21" s="22" t="s">
        <v>57</v>
      </c>
      <c r="B21" s="23" t="n">
        <f aca="false">COUNTIF('Raw Data (Preview)'!$B$3:$B$52,A21)</f>
        <v>0</v>
      </c>
      <c r="C21" s="24" t="str">
        <f aca="false">IF(B21=0,"—",AVERAGEIF('Raw Data (Preview)'!$B$3:$B$52,A21,'Raw Data (Preview)'!$E$3:$E$52))</f>
        <v>—</v>
      </c>
      <c r="D21" s="24" t="str">
        <f aca="false">IF(B21=0,"—",AVERAGEIF('Raw Data (Preview)'!$B$3:$B$52,A21,'Raw Data (Preview)'!$F$3:$F$52))</f>
        <v>—</v>
      </c>
      <c r="E21" s="25" t="str">
        <f aca="false">IF(B21=0,"—",AVERAGEIF('Raw Data (Preview)'!$B$3:$B$52,A21,'Raw Data (Preview)'!$I$3:$I$52))</f>
        <v>—</v>
      </c>
      <c r="F21" s="25" t="str">
        <f aca="false">IF(B21=0,"—",AVERAGEIF('Raw Data (Preview)'!$B$3:$B$52,A21,'Raw Data (Preview)'!$G$3:$G$52))</f>
        <v>—</v>
      </c>
      <c r="G21" s="25" t="str">
        <f aca="false">IF(B21=0,"—",AVERAGEIF('Raw Data (Preview)'!$B$3:$B$52,A21,'Raw Data (Preview)'!$H$3:$H$52))</f>
        <v>—</v>
      </c>
      <c r="H21" s="26" t="str">
        <f aca="false">IF(B21=0,"—",IFERROR(AVERAGEIF('Raw Data (Preview)'!$B$3:$B$52,A21,'Raw Data (Preview)'!$L$3:$L$52),"—"))</f>
        <v>—</v>
      </c>
      <c r="I21" s="26" t="str">
        <f aca="false">IF(B21=0,"—",IFERROR(AVERAGEIF('Raw Data (Preview)'!$B$3:$B$52,A21,'Raw Data (Preview)'!$L$3:$L$52),"—"))</f>
        <v>—</v>
      </c>
      <c r="J21" s="25" t="str">
        <f aca="false">IF(B21=0,"—",IFERROR(F21/C21,"—"))</f>
        <v>—</v>
      </c>
    </row>
    <row r="22" customFormat="false" ht="15" hidden="false" customHeight="true" outlineLevel="0" collapsed="false">
      <c r="A22" s="27" t="s">
        <v>58</v>
      </c>
      <c r="B22" s="28" t="n">
        <f aca="false">COUNTIF('Raw Data (Preview)'!$B$3:$B$52,A22)</f>
        <v>3</v>
      </c>
      <c r="C22" s="29" t="n">
        <f aca="false">IF(B22=0,"—",AVERAGEIF('Raw Data (Preview)'!$B$3:$B$52,A22,'Raw Data (Preview)'!$E$3:$E$52))</f>
        <v>516</v>
      </c>
      <c r="D22" s="29" t="n">
        <f aca="false">IF(B22=0,"—",AVERAGEIF('Raw Data (Preview)'!$B$3:$B$52,A22,'Raw Data (Preview)'!$F$3:$F$52))</f>
        <v>7.33333333333333</v>
      </c>
      <c r="E22" s="30" t="n">
        <f aca="false">IF(B22=0,"—",AVERAGEIF('Raw Data (Preview)'!$B$3:$B$52,A22,'Raw Data (Preview)'!$I$3:$I$52))</f>
        <v>54.99</v>
      </c>
      <c r="F22" s="30" t="n">
        <f aca="false">IF(B22=0,"—",AVERAGEIF('Raw Data (Preview)'!$B$3:$B$52,A22,'Raw Data (Preview)'!$G$3:$G$52))</f>
        <v>185</v>
      </c>
      <c r="G22" s="30" t="n">
        <f aca="false">IF(B22=0,"—",AVERAGEIF('Raw Data (Preview)'!$B$3:$B$52,A22,'Raw Data (Preview)'!$H$3:$H$52))</f>
        <v>96.5533333333333</v>
      </c>
      <c r="H22" s="31" t="n">
        <f aca="false">IF(B22=0,"—",IFERROR(AVERAGEIF('Raw Data (Preview)'!$B$3:$B$52,A22,'Raw Data (Preview)'!$L$3:$L$52),"—"))</f>
        <v>329.897623288658</v>
      </c>
      <c r="I22" s="31" t="n">
        <f aca="false">IF(B22=0,"—",IFERROR(AVERAGEIF('Raw Data (Preview)'!$B$3:$B$52,A22,'Raw Data (Preview)'!$L$3:$L$52),"—"))</f>
        <v>329.897623288658</v>
      </c>
      <c r="J22" s="30" t="n">
        <f aca="false">IF(B22=0,"—",IFERROR(F22/C22,"—"))</f>
        <v>0.358527131782946</v>
      </c>
    </row>
    <row r="23" customFormat="false" ht="15" hidden="false" customHeight="true" outlineLevel="0" collapsed="false">
      <c r="A23" s="22" t="s">
        <v>59</v>
      </c>
      <c r="B23" s="23" t="n">
        <f aca="false">COUNTIF('Raw Data (Preview)'!$B$3:$B$52,A23)</f>
        <v>0</v>
      </c>
      <c r="C23" s="24" t="str">
        <f aca="false">IF(B23=0,"—",AVERAGEIF('Raw Data (Preview)'!$B$3:$B$52,A23,'Raw Data (Preview)'!$E$3:$E$52))</f>
        <v>—</v>
      </c>
      <c r="D23" s="24" t="str">
        <f aca="false">IF(B23=0,"—",AVERAGEIF('Raw Data (Preview)'!$B$3:$B$52,A23,'Raw Data (Preview)'!$F$3:$F$52))</f>
        <v>—</v>
      </c>
      <c r="E23" s="25" t="str">
        <f aca="false">IF(B23=0,"—",AVERAGEIF('Raw Data (Preview)'!$B$3:$B$52,A23,'Raw Data (Preview)'!$I$3:$I$52))</f>
        <v>—</v>
      </c>
      <c r="F23" s="25" t="str">
        <f aca="false">IF(B23=0,"—",AVERAGEIF('Raw Data (Preview)'!$B$3:$B$52,A23,'Raw Data (Preview)'!$G$3:$G$52))</f>
        <v>—</v>
      </c>
      <c r="G23" s="25" t="str">
        <f aca="false">IF(B23=0,"—",AVERAGEIF('Raw Data (Preview)'!$B$3:$B$52,A23,'Raw Data (Preview)'!$H$3:$H$52))</f>
        <v>—</v>
      </c>
      <c r="H23" s="26" t="str">
        <f aca="false">IF(B23=0,"—",IFERROR(AVERAGEIF('Raw Data (Preview)'!$B$3:$B$52,A23,'Raw Data (Preview)'!$L$3:$L$52),"—"))</f>
        <v>—</v>
      </c>
      <c r="I23" s="26" t="str">
        <f aca="false">IF(B23=0,"—",IFERROR(AVERAGEIF('Raw Data (Preview)'!$B$3:$B$52,A23,'Raw Data (Preview)'!$L$3:$L$52),"—"))</f>
        <v>—</v>
      </c>
      <c r="J23" s="25" t="str">
        <f aca="false">IF(B23=0,"—",IFERROR(F23/C23,"—"))</f>
        <v>—</v>
      </c>
    </row>
    <row r="24" customFormat="false" ht="15" hidden="false" customHeight="true" outlineLevel="0" collapsed="false">
      <c r="A24" s="27" t="s">
        <v>60</v>
      </c>
      <c r="B24" s="28" t="n">
        <f aca="false">COUNTIF('Raw Data (Preview)'!$B$3:$B$52,A24)</f>
        <v>0</v>
      </c>
      <c r="C24" s="29" t="str">
        <f aca="false">IF(B24=0,"—",AVERAGEIF('Raw Data (Preview)'!$B$3:$B$52,A24,'Raw Data (Preview)'!$E$3:$E$52))</f>
        <v>—</v>
      </c>
      <c r="D24" s="29" t="str">
        <f aca="false">IF(B24=0,"—",AVERAGEIF('Raw Data (Preview)'!$B$3:$B$52,A24,'Raw Data (Preview)'!$F$3:$F$52))</f>
        <v>—</v>
      </c>
      <c r="E24" s="30" t="str">
        <f aca="false">IF(B24=0,"—",AVERAGEIF('Raw Data (Preview)'!$B$3:$B$52,A24,'Raw Data (Preview)'!$I$3:$I$52))</f>
        <v>—</v>
      </c>
      <c r="F24" s="30" t="str">
        <f aca="false">IF(B24=0,"—",AVERAGEIF('Raw Data (Preview)'!$B$3:$B$52,A24,'Raw Data (Preview)'!$G$3:$G$52))</f>
        <v>—</v>
      </c>
      <c r="G24" s="30" t="str">
        <f aca="false">IF(B24=0,"—",AVERAGEIF('Raw Data (Preview)'!$B$3:$B$52,A24,'Raw Data (Preview)'!$H$3:$H$52))</f>
        <v>—</v>
      </c>
      <c r="H24" s="31" t="str">
        <f aca="false">IF(B24=0,"—",IFERROR(AVERAGEIF('Raw Data (Preview)'!$B$3:$B$52,A24,'Raw Data (Preview)'!$L$3:$L$52),"—"))</f>
        <v>—</v>
      </c>
      <c r="I24" s="31" t="str">
        <f aca="false">IF(B24=0,"—",IFERROR(AVERAGEIF('Raw Data (Preview)'!$B$3:$B$52,A24,'Raw Data (Preview)'!$L$3:$L$52),"—"))</f>
        <v>—</v>
      </c>
      <c r="J24" s="30" t="str">
        <f aca="false">IF(B24=0,"—",IFERROR(F24/C24,"—"))</f>
        <v>—</v>
      </c>
    </row>
    <row r="25" customFormat="false" ht="15" hidden="false" customHeight="true" outlineLevel="0" collapsed="false">
      <c r="A25" s="22" t="s">
        <v>61</v>
      </c>
      <c r="B25" s="23" t="n">
        <f aca="false">COUNTIF('Raw Data (Preview)'!$B$3:$B$52,A25)</f>
        <v>0</v>
      </c>
      <c r="C25" s="24" t="str">
        <f aca="false">IF(B25=0,"—",AVERAGEIF('Raw Data (Preview)'!$B$3:$B$52,A25,'Raw Data (Preview)'!$E$3:$E$52))</f>
        <v>—</v>
      </c>
      <c r="D25" s="24" t="str">
        <f aca="false">IF(B25=0,"—",AVERAGEIF('Raw Data (Preview)'!$B$3:$B$52,A25,'Raw Data (Preview)'!$F$3:$F$52))</f>
        <v>—</v>
      </c>
      <c r="E25" s="25" t="str">
        <f aca="false">IF(B25=0,"—",AVERAGEIF('Raw Data (Preview)'!$B$3:$B$52,A25,'Raw Data (Preview)'!$I$3:$I$52))</f>
        <v>—</v>
      </c>
      <c r="F25" s="25" t="str">
        <f aca="false">IF(B25=0,"—",AVERAGEIF('Raw Data (Preview)'!$B$3:$B$52,A25,'Raw Data (Preview)'!$G$3:$G$52))</f>
        <v>—</v>
      </c>
      <c r="G25" s="25" t="str">
        <f aca="false">IF(B25=0,"—",AVERAGEIF('Raw Data (Preview)'!$B$3:$B$52,A25,'Raw Data (Preview)'!$H$3:$H$52))</f>
        <v>—</v>
      </c>
      <c r="H25" s="26" t="str">
        <f aca="false">IF(B25=0,"—",IFERROR(AVERAGEIF('Raw Data (Preview)'!$B$3:$B$52,A25,'Raw Data (Preview)'!$L$3:$L$52),"—"))</f>
        <v>—</v>
      </c>
      <c r="I25" s="26" t="str">
        <f aca="false">IF(B25=0,"—",IFERROR(AVERAGEIF('Raw Data (Preview)'!$B$3:$B$52,A25,'Raw Data (Preview)'!$L$3:$L$52),"—"))</f>
        <v>—</v>
      </c>
      <c r="J25" s="25" t="str">
        <f aca="false">IF(B25=0,"—",IFERROR(F25/C25,"—"))</f>
        <v>—</v>
      </c>
    </row>
    <row r="26" customFormat="false" ht="15" hidden="false" customHeight="true" outlineLevel="0" collapsed="false">
      <c r="A26" s="27" t="s">
        <v>62</v>
      </c>
      <c r="B26" s="28" t="n">
        <f aca="false">COUNTIF('Raw Data (Preview)'!$B$3:$B$52,A26)</f>
        <v>0</v>
      </c>
      <c r="C26" s="29" t="str">
        <f aca="false">IF(B26=0,"—",AVERAGEIF('Raw Data (Preview)'!$B$3:$B$52,A26,'Raw Data (Preview)'!$E$3:$E$52))</f>
        <v>—</v>
      </c>
      <c r="D26" s="29" t="str">
        <f aca="false">IF(B26=0,"—",AVERAGEIF('Raw Data (Preview)'!$B$3:$B$52,A26,'Raw Data (Preview)'!$F$3:$F$52))</f>
        <v>—</v>
      </c>
      <c r="E26" s="30" t="str">
        <f aca="false">IF(B26=0,"—",AVERAGEIF('Raw Data (Preview)'!$B$3:$B$52,A26,'Raw Data (Preview)'!$I$3:$I$52))</f>
        <v>—</v>
      </c>
      <c r="F26" s="30" t="str">
        <f aca="false">IF(B26=0,"—",AVERAGEIF('Raw Data (Preview)'!$B$3:$B$52,A26,'Raw Data (Preview)'!$G$3:$G$52))</f>
        <v>—</v>
      </c>
      <c r="G26" s="30" t="str">
        <f aca="false">IF(B26=0,"—",AVERAGEIF('Raw Data (Preview)'!$B$3:$B$52,A26,'Raw Data (Preview)'!$H$3:$H$52))</f>
        <v>—</v>
      </c>
      <c r="H26" s="31" t="str">
        <f aca="false">IF(B26=0,"—",IFERROR(AVERAGEIF('Raw Data (Preview)'!$B$3:$B$52,A26,'Raw Data (Preview)'!$L$3:$L$52),"—"))</f>
        <v>—</v>
      </c>
      <c r="I26" s="31" t="str">
        <f aca="false">IF(B26=0,"—",IFERROR(AVERAGEIF('Raw Data (Preview)'!$B$3:$B$52,A26,'Raw Data (Preview)'!$L$3:$L$52),"—"))</f>
        <v>—</v>
      </c>
      <c r="J26" s="30" t="str">
        <f aca="false">IF(B26=0,"—",IFERROR(F26/C26,"—"))</f>
        <v>—</v>
      </c>
    </row>
    <row r="27" customFormat="false" ht="15" hidden="false" customHeight="true" outlineLevel="0" collapsed="false">
      <c r="A27" s="22" t="s">
        <v>63</v>
      </c>
      <c r="B27" s="23" t="n">
        <f aca="false">COUNTIF('Raw Data (Preview)'!$B$3:$B$52,A27)</f>
        <v>0</v>
      </c>
      <c r="C27" s="24" t="str">
        <f aca="false">IF(B27=0,"—",AVERAGEIF('Raw Data (Preview)'!$B$3:$B$52,A27,'Raw Data (Preview)'!$E$3:$E$52))</f>
        <v>—</v>
      </c>
      <c r="D27" s="24" t="str">
        <f aca="false">IF(B27=0,"—",AVERAGEIF('Raw Data (Preview)'!$B$3:$B$52,A27,'Raw Data (Preview)'!$F$3:$F$52))</f>
        <v>—</v>
      </c>
      <c r="E27" s="25" t="str">
        <f aca="false">IF(B27=0,"—",AVERAGEIF('Raw Data (Preview)'!$B$3:$B$52,A27,'Raw Data (Preview)'!$I$3:$I$52))</f>
        <v>—</v>
      </c>
      <c r="F27" s="25" t="str">
        <f aca="false">IF(B27=0,"—",AVERAGEIF('Raw Data (Preview)'!$B$3:$B$52,A27,'Raw Data (Preview)'!$G$3:$G$52))</f>
        <v>—</v>
      </c>
      <c r="G27" s="25" t="str">
        <f aca="false">IF(B27=0,"—",AVERAGEIF('Raw Data (Preview)'!$B$3:$B$52,A27,'Raw Data (Preview)'!$H$3:$H$52))</f>
        <v>—</v>
      </c>
      <c r="H27" s="26" t="str">
        <f aca="false">IF(B27=0,"—",IFERROR(AVERAGEIF('Raw Data (Preview)'!$B$3:$B$52,A27,'Raw Data (Preview)'!$L$3:$L$52),"—"))</f>
        <v>—</v>
      </c>
      <c r="I27" s="26" t="str">
        <f aca="false">IF(B27=0,"—",IFERROR(AVERAGEIF('Raw Data (Preview)'!$B$3:$B$52,A27,'Raw Data (Preview)'!$L$3:$L$52),"—"))</f>
        <v>—</v>
      </c>
      <c r="J27" s="25" t="str">
        <f aca="false">IF(B27=0,"—",IFERROR(F27/C27,"—"))</f>
        <v>—</v>
      </c>
    </row>
    <row r="28" customFormat="false" ht="15" hidden="false" customHeight="true" outlineLevel="0" collapsed="false">
      <c r="A28" s="27" t="s">
        <v>64</v>
      </c>
      <c r="B28" s="28" t="n">
        <f aca="false">COUNTIF('Raw Data (Preview)'!$B$3:$B$52,A28)</f>
        <v>0</v>
      </c>
      <c r="C28" s="29" t="str">
        <f aca="false">IF(B28=0,"—",AVERAGEIF('Raw Data (Preview)'!$B$3:$B$52,A28,'Raw Data (Preview)'!$E$3:$E$52))</f>
        <v>—</v>
      </c>
      <c r="D28" s="29" t="str">
        <f aca="false">IF(B28=0,"—",AVERAGEIF('Raw Data (Preview)'!$B$3:$B$52,A28,'Raw Data (Preview)'!$F$3:$F$52))</f>
        <v>—</v>
      </c>
      <c r="E28" s="30" t="str">
        <f aca="false">IF(B28=0,"—",AVERAGEIF('Raw Data (Preview)'!$B$3:$B$52,A28,'Raw Data (Preview)'!$I$3:$I$52))</f>
        <v>—</v>
      </c>
      <c r="F28" s="30" t="str">
        <f aca="false">IF(B28=0,"—",AVERAGEIF('Raw Data (Preview)'!$B$3:$B$52,A28,'Raw Data (Preview)'!$G$3:$G$52))</f>
        <v>—</v>
      </c>
      <c r="G28" s="30" t="str">
        <f aca="false">IF(B28=0,"—",AVERAGEIF('Raw Data (Preview)'!$B$3:$B$52,A28,'Raw Data (Preview)'!$H$3:$H$52))</f>
        <v>—</v>
      </c>
      <c r="H28" s="31" t="str">
        <f aca="false">IF(B28=0,"—",IFERROR(AVERAGEIF('Raw Data (Preview)'!$B$3:$B$52,A28,'Raw Data (Preview)'!$L$3:$L$52),"—"))</f>
        <v>—</v>
      </c>
      <c r="I28" s="31" t="str">
        <f aca="false">IF(B28=0,"—",IFERROR(AVERAGEIF('Raw Data (Preview)'!$B$3:$B$52,A28,'Raw Data (Preview)'!$L$3:$L$52),"—"))</f>
        <v>—</v>
      </c>
      <c r="J28" s="30" t="str">
        <f aca="false">IF(B28=0,"—",IFERROR(F28/C28,"—"))</f>
        <v>—</v>
      </c>
    </row>
    <row r="29" customFormat="false" ht="15" hidden="false" customHeight="true" outlineLevel="0" collapsed="false">
      <c r="A29" s="22" t="s">
        <v>65</v>
      </c>
      <c r="B29" s="23" t="n">
        <f aca="false">COUNTIF('Raw Data (Preview)'!$B$3:$B$52,A29)</f>
        <v>0</v>
      </c>
      <c r="C29" s="24" t="str">
        <f aca="false">IF(B29=0,"—",AVERAGEIF('Raw Data (Preview)'!$B$3:$B$52,A29,'Raw Data (Preview)'!$E$3:$E$52))</f>
        <v>—</v>
      </c>
      <c r="D29" s="24" t="str">
        <f aca="false">IF(B29=0,"—",AVERAGEIF('Raw Data (Preview)'!$B$3:$B$52,A29,'Raw Data (Preview)'!$F$3:$F$52))</f>
        <v>—</v>
      </c>
      <c r="E29" s="25" t="str">
        <f aca="false">IF(B29=0,"—",AVERAGEIF('Raw Data (Preview)'!$B$3:$B$52,A29,'Raw Data (Preview)'!$I$3:$I$52))</f>
        <v>—</v>
      </c>
      <c r="F29" s="25" t="str">
        <f aca="false">IF(B29=0,"—",AVERAGEIF('Raw Data (Preview)'!$B$3:$B$52,A29,'Raw Data (Preview)'!$G$3:$G$52))</f>
        <v>—</v>
      </c>
      <c r="G29" s="25" t="str">
        <f aca="false">IF(B29=0,"—",AVERAGEIF('Raw Data (Preview)'!$B$3:$B$52,A29,'Raw Data (Preview)'!$H$3:$H$52))</f>
        <v>—</v>
      </c>
      <c r="H29" s="26" t="str">
        <f aca="false">IF(B29=0,"—",IFERROR(AVERAGEIF('Raw Data (Preview)'!$B$3:$B$52,A29,'Raw Data (Preview)'!$L$3:$L$52),"—"))</f>
        <v>—</v>
      </c>
      <c r="I29" s="26" t="str">
        <f aca="false">IF(B29=0,"—",IFERROR(AVERAGEIF('Raw Data (Preview)'!$B$3:$B$52,A29,'Raw Data (Preview)'!$L$3:$L$52),"—"))</f>
        <v>—</v>
      </c>
      <c r="J29" s="25" t="str">
        <f aca="false">IF(B29=0,"—",IFERROR(F29/C29,"—"))</f>
        <v>—</v>
      </c>
    </row>
    <row r="30" customFormat="false" ht="15" hidden="false" customHeight="true" outlineLevel="0" collapsed="false">
      <c r="A30" s="27" t="s">
        <v>66</v>
      </c>
      <c r="B30" s="28" t="n">
        <f aca="false">COUNTIF('Raw Data (Preview)'!$B$3:$B$52,A30)</f>
        <v>0</v>
      </c>
      <c r="C30" s="29" t="str">
        <f aca="false">IF(B30=0,"—",AVERAGEIF('Raw Data (Preview)'!$B$3:$B$52,A30,'Raw Data (Preview)'!$E$3:$E$52))</f>
        <v>—</v>
      </c>
      <c r="D30" s="29" t="str">
        <f aca="false">IF(B30=0,"—",AVERAGEIF('Raw Data (Preview)'!$B$3:$B$52,A30,'Raw Data (Preview)'!$F$3:$F$52))</f>
        <v>—</v>
      </c>
      <c r="E30" s="30" t="str">
        <f aca="false">IF(B30=0,"—",AVERAGEIF('Raw Data (Preview)'!$B$3:$B$52,A30,'Raw Data (Preview)'!$I$3:$I$52))</f>
        <v>—</v>
      </c>
      <c r="F30" s="30" t="str">
        <f aca="false">IF(B30=0,"—",AVERAGEIF('Raw Data (Preview)'!$B$3:$B$52,A30,'Raw Data (Preview)'!$G$3:$G$52))</f>
        <v>—</v>
      </c>
      <c r="G30" s="30" t="str">
        <f aca="false">IF(B30=0,"—",AVERAGEIF('Raw Data (Preview)'!$B$3:$B$52,A30,'Raw Data (Preview)'!$H$3:$H$52))</f>
        <v>—</v>
      </c>
      <c r="H30" s="31" t="str">
        <f aca="false">IF(B30=0,"—",IFERROR(AVERAGEIF('Raw Data (Preview)'!$B$3:$B$52,A30,'Raw Data (Preview)'!$L$3:$L$52),"—"))</f>
        <v>—</v>
      </c>
      <c r="I30" s="31" t="str">
        <f aca="false">IF(B30=0,"—",IFERROR(AVERAGEIF('Raw Data (Preview)'!$B$3:$B$52,A30,'Raw Data (Preview)'!$L$3:$L$52),"—"))</f>
        <v>—</v>
      </c>
      <c r="J30" s="30" t="str">
        <f aca="false">IF(B30=0,"—",IFERROR(F30/C30,"—"))</f>
        <v>—</v>
      </c>
    </row>
    <row r="31" customFormat="false" ht="15" hidden="false" customHeight="true" outlineLevel="0" collapsed="false">
      <c r="A31" s="22" t="s">
        <v>67</v>
      </c>
      <c r="B31" s="23" t="n">
        <f aca="false">COUNTIF('Raw Data (Preview)'!$B$3:$B$52,A31)</f>
        <v>0</v>
      </c>
      <c r="C31" s="24" t="str">
        <f aca="false">IF(B31=0,"—",AVERAGEIF('Raw Data (Preview)'!$B$3:$B$52,A31,'Raw Data (Preview)'!$E$3:$E$52))</f>
        <v>—</v>
      </c>
      <c r="D31" s="24" t="str">
        <f aca="false">IF(B31=0,"—",AVERAGEIF('Raw Data (Preview)'!$B$3:$B$52,A31,'Raw Data (Preview)'!$F$3:$F$52))</f>
        <v>—</v>
      </c>
      <c r="E31" s="25" t="str">
        <f aca="false">IF(B31=0,"—",AVERAGEIF('Raw Data (Preview)'!$B$3:$B$52,A31,'Raw Data (Preview)'!$I$3:$I$52))</f>
        <v>—</v>
      </c>
      <c r="F31" s="25" t="str">
        <f aca="false">IF(B31=0,"—",AVERAGEIF('Raw Data (Preview)'!$B$3:$B$52,A31,'Raw Data (Preview)'!$G$3:$G$52))</f>
        <v>—</v>
      </c>
      <c r="G31" s="25" t="str">
        <f aca="false">IF(B31=0,"—",AVERAGEIF('Raw Data (Preview)'!$B$3:$B$52,A31,'Raw Data (Preview)'!$H$3:$H$52))</f>
        <v>—</v>
      </c>
      <c r="H31" s="26" t="str">
        <f aca="false">IF(B31=0,"—",IFERROR(AVERAGEIF('Raw Data (Preview)'!$B$3:$B$52,A31,'Raw Data (Preview)'!$L$3:$L$52),"—"))</f>
        <v>—</v>
      </c>
      <c r="I31" s="26" t="str">
        <f aca="false">IF(B31=0,"—",IFERROR(AVERAGEIF('Raw Data (Preview)'!$B$3:$B$52,A31,'Raw Data (Preview)'!$L$3:$L$52),"—"))</f>
        <v>—</v>
      </c>
      <c r="J31" s="25" t="str">
        <f aca="false">IF(B31=0,"—",IFERROR(F31/C31,"—"))</f>
        <v>—</v>
      </c>
    </row>
    <row r="32" customFormat="false" ht="15" hidden="false" customHeight="true" outlineLevel="0" collapsed="false">
      <c r="A32" s="27" t="s">
        <v>68</v>
      </c>
      <c r="B32" s="28" t="n">
        <f aca="false">COUNTIF('Raw Data (Preview)'!$B$3:$B$52,A32)</f>
        <v>0</v>
      </c>
      <c r="C32" s="29" t="str">
        <f aca="false">IF(B32=0,"—",AVERAGEIF('Raw Data (Preview)'!$B$3:$B$52,A32,'Raw Data (Preview)'!$E$3:$E$52))</f>
        <v>—</v>
      </c>
      <c r="D32" s="29" t="str">
        <f aca="false">IF(B32=0,"—",AVERAGEIF('Raw Data (Preview)'!$B$3:$B$52,A32,'Raw Data (Preview)'!$F$3:$F$52))</f>
        <v>—</v>
      </c>
      <c r="E32" s="30" t="str">
        <f aca="false">IF(B32=0,"—",AVERAGEIF('Raw Data (Preview)'!$B$3:$B$52,A32,'Raw Data (Preview)'!$I$3:$I$52))</f>
        <v>—</v>
      </c>
      <c r="F32" s="30" t="str">
        <f aca="false">IF(B32=0,"—",AVERAGEIF('Raw Data (Preview)'!$B$3:$B$52,A32,'Raw Data (Preview)'!$G$3:$G$52))</f>
        <v>—</v>
      </c>
      <c r="G32" s="30" t="str">
        <f aca="false">IF(B32=0,"—",AVERAGEIF('Raw Data (Preview)'!$B$3:$B$52,A32,'Raw Data (Preview)'!$H$3:$H$52))</f>
        <v>—</v>
      </c>
      <c r="H32" s="31" t="str">
        <f aca="false">IF(B32=0,"—",IFERROR(AVERAGEIF('Raw Data (Preview)'!$B$3:$B$52,A32,'Raw Data (Preview)'!$L$3:$L$52),"—"))</f>
        <v>—</v>
      </c>
      <c r="I32" s="31" t="str">
        <f aca="false">IF(B32=0,"—",IFERROR(AVERAGEIF('Raw Data (Preview)'!$B$3:$B$52,A32,'Raw Data (Preview)'!$L$3:$L$52),"—"))</f>
        <v>—</v>
      </c>
      <c r="J32" s="30" t="str">
        <f aca="false">IF(B32=0,"—",IFERROR(F32/C32,"—"))</f>
        <v>—</v>
      </c>
    </row>
    <row r="33" customFormat="false" ht="15" hidden="false" customHeight="true" outlineLevel="0" collapsed="false">
      <c r="A33" s="22" t="s">
        <v>69</v>
      </c>
      <c r="B33" s="23" t="n">
        <f aca="false">COUNTIF('Raw Data (Preview)'!$B$3:$B$52,A33)</f>
        <v>0</v>
      </c>
      <c r="C33" s="24" t="str">
        <f aca="false">IF(B33=0,"—",AVERAGEIF('Raw Data (Preview)'!$B$3:$B$52,A33,'Raw Data (Preview)'!$E$3:$E$52))</f>
        <v>—</v>
      </c>
      <c r="D33" s="24" t="str">
        <f aca="false">IF(B33=0,"—",AVERAGEIF('Raw Data (Preview)'!$B$3:$B$52,A33,'Raw Data (Preview)'!$F$3:$F$52))</f>
        <v>—</v>
      </c>
      <c r="E33" s="25" t="str">
        <f aca="false">IF(B33=0,"—",AVERAGEIF('Raw Data (Preview)'!$B$3:$B$52,A33,'Raw Data (Preview)'!$I$3:$I$52))</f>
        <v>—</v>
      </c>
      <c r="F33" s="25" t="str">
        <f aca="false">IF(B33=0,"—",AVERAGEIF('Raw Data (Preview)'!$B$3:$B$52,A33,'Raw Data (Preview)'!$G$3:$G$52))</f>
        <v>—</v>
      </c>
      <c r="G33" s="25" t="str">
        <f aca="false">IF(B33=0,"—",AVERAGEIF('Raw Data (Preview)'!$B$3:$B$52,A33,'Raw Data (Preview)'!$H$3:$H$52))</f>
        <v>—</v>
      </c>
      <c r="H33" s="26" t="str">
        <f aca="false">IF(B33=0,"—",IFERROR(AVERAGEIF('Raw Data (Preview)'!$B$3:$B$52,A33,'Raw Data (Preview)'!$L$3:$L$52),"—"))</f>
        <v>—</v>
      </c>
      <c r="I33" s="26" t="str">
        <f aca="false">IF(B33=0,"—",IFERROR(AVERAGEIF('Raw Data (Preview)'!$B$3:$B$52,A33,'Raw Data (Preview)'!$L$3:$L$52),"—"))</f>
        <v>—</v>
      </c>
      <c r="J33" s="25" t="str">
        <f aca="false">IF(B33=0,"—",IFERROR(F33/C33,"—"))</f>
        <v>—</v>
      </c>
    </row>
    <row r="34" customFormat="false" ht="15" hidden="false" customHeight="true" outlineLevel="0" collapsed="false">
      <c r="A34" s="27" t="s">
        <v>70</v>
      </c>
      <c r="B34" s="28" t="n">
        <f aca="false">COUNTIF('Raw Data (Preview)'!$B$3:$B$52,A34)</f>
        <v>0</v>
      </c>
      <c r="C34" s="29" t="str">
        <f aca="false">IF(B34=0,"—",AVERAGEIF('Raw Data (Preview)'!$B$3:$B$52,A34,'Raw Data (Preview)'!$E$3:$E$52))</f>
        <v>—</v>
      </c>
      <c r="D34" s="29" t="str">
        <f aca="false">IF(B34=0,"—",AVERAGEIF('Raw Data (Preview)'!$B$3:$B$52,A34,'Raw Data (Preview)'!$F$3:$F$52))</f>
        <v>—</v>
      </c>
      <c r="E34" s="30" t="str">
        <f aca="false">IF(B34=0,"—",AVERAGEIF('Raw Data (Preview)'!$B$3:$B$52,A34,'Raw Data (Preview)'!$I$3:$I$52))</f>
        <v>—</v>
      </c>
      <c r="F34" s="30" t="str">
        <f aca="false">IF(B34=0,"—",AVERAGEIF('Raw Data (Preview)'!$B$3:$B$52,A34,'Raw Data (Preview)'!$G$3:$G$52))</f>
        <v>—</v>
      </c>
      <c r="G34" s="30" t="str">
        <f aca="false">IF(B34=0,"—",AVERAGEIF('Raw Data (Preview)'!$B$3:$B$52,A34,'Raw Data (Preview)'!$H$3:$H$52))</f>
        <v>—</v>
      </c>
      <c r="H34" s="31" t="str">
        <f aca="false">IF(B34=0,"—",IFERROR(AVERAGEIF('Raw Data (Preview)'!$B$3:$B$52,A34,'Raw Data (Preview)'!$L$3:$L$52),"—"))</f>
        <v>—</v>
      </c>
      <c r="I34" s="31" t="str">
        <f aca="false">IF(B34=0,"—",IFERROR(AVERAGEIF('Raw Data (Preview)'!$B$3:$B$52,A34,'Raw Data (Preview)'!$L$3:$L$52),"—"))</f>
        <v>—</v>
      </c>
      <c r="J34" s="30" t="str">
        <f aca="false">IF(B34=0,"—",IFERROR(F34/C34,"—"))</f>
        <v>—</v>
      </c>
    </row>
    <row r="35" customFormat="false" ht="15" hidden="false" customHeight="true" outlineLevel="0" collapsed="false">
      <c r="A35" s="22" t="s">
        <v>71</v>
      </c>
      <c r="B35" s="23" t="n">
        <f aca="false">COUNTIF('Raw Data (Preview)'!$B$3:$B$52,A35)</f>
        <v>0</v>
      </c>
      <c r="C35" s="24" t="str">
        <f aca="false">IF(B35=0,"—",AVERAGEIF('Raw Data (Preview)'!$B$3:$B$52,A35,'Raw Data (Preview)'!$E$3:$E$52))</f>
        <v>—</v>
      </c>
      <c r="D35" s="24" t="str">
        <f aca="false">IF(B35=0,"—",AVERAGEIF('Raw Data (Preview)'!$B$3:$B$52,A35,'Raw Data (Preview)'!$F$3:$F$52))</f>
        <v>—</v>
      </c>
      <c r="E35" s="25" t="str">
        <f aca="false">IF(B35=0,"—",AVERAGEIF('Raw Data (Preview)'!$B$3:$B$52,A35,'Raw Data (Preview)'!$I$3:$I$52))</f>
        <v>—</v>
      </c>
      <c r="F35" s="25" t="str">
        <f aca="false">IF(B35=0,"—",AVERAGEIF('Raw Data (Preview)'!$B$3:$B$52,A35,'Raw Data (Preview)'!$G$3:$G$52))</f>
        <v>—</v>
      </c>
      <c r="G35" s="25" t="str">
        <f aca="false">IF(B35=0,"—",AVERAGEIF('Raw Data (Preview)'!$B$3:$B$52,A35,'Raw Data (Preview)'!$H$3:$H$52))</f>
        <v>—</v>
      </c>
      <c r="H35" s="26" t="str">
        <f aca="false">IF(B35=0,"—",IFERROR(AVERAGEIF('Raw Data (Preview)'!$B$3:$B$52,A35,'Raw Data (Preview)'!$L$3:$L$52),"—"))</f>
        <v>—</v>
      </c>
      <c r="I35" s="26" t="str">
        <f aca="false">IF(B35=0,"—",IFERROR(AVERAGEIF('Raw Data (Preview)'!$B$3:$B$52,A35,'Raw Data (Preview)'!$L$3:$L$52),"—"))</f>
        <v>—</v>
      </c>
      <c r="J35" s="25" t="str">
        <f aca="false">IF(B35=0,"—",IFERROR(F35/C35,"—"))</f>
        <v>—</v>
      </c>
    </row>
    <row r="36" customFormat="false" ht="15" hidden="false" customHeight="true" outlineLevel="0" collapsed="false">
      <c r="A36" s="27" t="s">
        <v>72</v>
      </c>
      <c r="B36" s="28" t="n">
        <f aca="false">COUNTIF('Raw Data (Preview)'!$B$3:$B$52,A36)</f>
        <v>0</v>
      </c>
      <c r="C36" s="29" t="str">
        <f aca="false">IF(B36=0,"—",AVERAGEIF('Raw Data (Preview)'!$B$3:$B$52,A36,'Raw Data (Preview)'!$E$3:$E$52))</f>
        <v>—</v>
      </c>
      <c r="D36" s="29" t="str">
        <f aca="false">IF(B36=0,"—",AVERAGEIF('Raw Data (Preview)'!$B$3:$B$52,A36,'Raw Data (Preview)'!$F$3:$F$52))</f>
        <v>—</v>
      </c>
      <c r="E36" s="30" t="str">
        <f aca="false">IF(B36=0,"—",AVERAGEIF('Raw Data (Preview)'!$B$3:$B$52,A36,'Raw Data (Preview)'!$I$3:$I$52))</f>
        <v>—</v>
      </c>
      <c r="F36" s="30" t="str">
        <f aca="false">IF(B36=0,"—",AVERAGEIF('Raw Data (Preview)'!$B$3:$B$52,A36,'Raw Data (Preview)'!$G$3:$G$52))</f>
        <v>—</v>
      </c>
      <c r="G36" s="30" t="str">
        <f aca="false">IF(B36=0,"—",AVERAGEIF('Raw Data (Preview)'!$B$3:$B$52,A36,'Raw Data (Preview)'!$H$3:$H$52))</f>
        <v>—</v>
      </c>
      <c r="H36" s="31" t="str">
        <f aca="false">IF(B36=0,"—",IFERROR(AVERAGEIF('Raw Data (Preview)'!$B$3:$B$52,A36,'Raw Data (Preview)'!$L$3:$L$52),"—"))</f>
        <v>—</v>
      </c>
      <c r="I36" s="31" t="str">
        <f aca="false">IF(B36=0,"—",IFERROR(AVERAGEIF('Raw Data (Preview)'!$B$3:$B$52,A36,'Raw Data (Preview)'!$L$3:$L$52),"—"))</f>
        <v>—</v>
      </c>
      <c r="J36" s="30" t="str">
        <f aca="false">IF(B36=0,"—",IFERROR(F36/C36,"—"))</f>
        <v>—</v>
      </c>
    </row>
    <row r="37" customFormat="false" ht="15" hidden="false" customHeight="true" outlineLevel="0" collapsed="false">
      <c r="A37" s="22" t="s">
        <v>73</v>
      </c>
      <c r="B37" s="23" t="n">
        <f aca="false">COUNTIF('Raw Data (Preview)'!$B$3:$B$52,A37)</f>
        <v>0</v>
      </c>
      <c r="C37" s="24" t="str">
        <f aca="false">IF(B37=0,"—",AVERAGEIF('Raw Data (Preview)'!$B$3:$B$52,A37,'Raw Data (Preview)'!$E$3:$E$52))</f>
        <v>—</v>
      </c>
      <c r="D37" s="24" t="str">
        <f aca="false">IF(B37=0,"—",AVERAGEIF('Raw Data (Preview)'!$B$3:$B$52,A37,'Raw Data (Preview)'!$F$3:$F$52))</f>
        <v>—</v>
      </c>
      <c r="E37" s="25" t="str">
        <f aca="false">IF(B37=0,"—",AVERAGEIF('Raw Data (Preview)'!$B$3:$B$52,A37,'Raw Data (Preview)'!$I$3:$I$52))</f>
        <v>—</v>
      </c>
      <c r="F37" s="25" t="str">
        <f aca="false">IF(B37=0,"—",AVERAGEIF('Raw Data (Preview)'!$B$3:$B$52,A37,'Raw Data (Preview)'!$G$3:$G$52))</f>
        <v>—</v>
      </c>
      <c r="G37" s="25" t="str">
        <f aca="false">IF(B37=0,"—",AVERAGEIF('Raw Data (Preview)'!$B$3:$B$52,A37,'Raw Data (Preview)'!$H$3:$H$52))</f>
        <v>—</v>
      </c>
      <c r="H37" s="26" t="str">
        <f aca="false">IF(B37=0,"—",IFERROR(AVERAGEIF('Raw Data (Preview)'!$B$3:$B$52,A37,'Raw Data (Preview)'!$L$3:$L$52),"—"))</f>
        <v>—</v>
      </c>
      <c r="I37" s="26" t="str">
        <f aca="false">IF(B37=0,"—",IFERROR(AVERAGEIF('Raw Data (Preview)'!$B$3:$B$52,A37,'Raw Data (Preview)'!$L$3:$L$52),"—"))</f>
        <v>—</v>
      </c>
      <c r="J37" s="25" t="str">
        <f aca="false">IF(B37=0,"—",IFERROR(F37/C37,"—"))</f>
        <v>—</v>
      </c>
    </row>
    <row r="38" customFormat="false" ht="15" hidden="false" customHeight="true" outlineLevel="0" collapsed="false">
      <c r="A38" s="27" t="s">
        <v>74</v>
      </c>
      <c r="B38" s="28" t="n">
        <f aca="false">COUNTIF('Raw Data (Preview)'!$B$3:$B$52,A38)</f>
        <v>1</v>
      </c>
      <c r="C38" s="29" t="n">
        <f aca="false">IF(B38=0,"—",AVERAGEIF('Raw Data (Preview)'!$B$3:$B$52,A38,'Raw Data (Preview)'!$E$3:$E$52))</f>
        <v>112</v>
      </c>
      <c r="D38" s="29" t="n">
        <f aca="false">IF(B38=0,"—",AVERAGEIF('Raw Data (Preview)'!$B$3:$B$52,A38,'Raw Data (Preview)'!$F$3:$F$52))</f>
        <v>0</v>
      </c>
      <c r="E38" s="30" t="n">
        <f aca="false">IF(B38=0,"—",AVERAGEIF('Raw Data (Preview)'!$B$3:$B$52,A38,'Raw Data (Preview)'!$I$3:$I$52))</f>
        <v>12.99</v>
      </c>
      <c r="F38" s="30" t="n">
        <f aca="false">IF(B38=0,"—",AVERAGEIF('Raw Data (Preview)'!$B$3:$B$52,A38,'Raw Data (Preview)'!$G$3:$G$52))</f>
        <v>32.88</v>
      </c>
      <c r="G38" s="30" t="n">
        <f aca="false">IF(B38=0,"—",AVERAGEIF('Raw Data (Preview)'!$B$3:$B$52,A38,'Raw Data (Preview)'!$H$3:$H$52))</f>
        <v>15.8</v>
      </c>
      <c r="H38" s="31" t="n">
        <f aca="false">IF(B38=0,"—",IFERROR(AVERAGEIF('Raw Data (Preview)'!$B$3:$B$52,A38,'Raw Data (Preview)'!$L$3:$L$52),"—"))</f>
        <v>153.117782909931</v>
      </c>
      <c r="I38" s="31" t="n">
        <f aca="false">IF(B38=0,"—",IFERROR(AVERAGEIF('Raw Data (Preview)'!$B$3:$B$52,A38,'Raw Data (Preview)'!$L$3:$L$52),"—"))</f>
        <v>153.117782909931</v>
      </c>
      <c r="J38" s="30" t="n">
        <f aca="false">IF(B38=0,"—",IFERROR(F38/C38,"—"))</f>
        <v>0.293571428571429</v>
      </c>
    </row>
    <row r="39" customFormat="false" ht="15" hidden="false" customHeight="true" outlineLevel="0" collapsed="false">
      <c r="A39" s="22" t="s">
        <v>75</v>
      </c>
      <c r="B39" s="23" t="n">
        <f aca="false">COUNTIF('Raw Data (Preview)'!$B$3:$B$52,A39)</f>
        <v>0</v>
      </c>
      <c r="C39" s="24" t="str">
        <f aca="false">IF(B39=0,"—",AVERAGEIF('Raw Data (Preview)'!$B$3:$B$52,A39,'Raw Data (Preview)'!$E$3:$E$52))</f>
        <v>—</v>
      </c>
      <c r="D39" s="24" t="str">
        <f aca="false">IF(B39=0,"—",AVERAGEIF('Raw Data (Preview)'!$B$3:$B$52,A39,'Raw Data (Preview)'!$F$3:$F$52))</f>
        <v>—</v>
      </c>
      <c r="E39" s="25" t="str">
        <f aca="false">IF(B39=0,"—",AVERAGEIF('Raw Data (Preview)'!$B$3:$B$52,A39,'Raw Data (Preview)'!$I$3:$I$52))</f>
        <v>—</v>
      </c>
      <c r="F39" s="25" t="str">
        <f aca="false">IF(B39=0,"—",AVERAGEIF('Raw Data (Preview)'!$B$3:$B$52,A39,'Raw Data (Preview)'!$G$3:$G$52))</f>
        <v>—</v>
      </c>
      <c r="G39" s="25" t="str">
        <f aca="false">IF(B39=0,"—",AVERAGEIF('Raw Data (Preview)'!$B$3:$B$52,A39,'Raw Data (Preview)'!$H$3:$H$52))</f>
        <v>—</v>
      </c>
      <c r="H39" s="26" t="str">
        <f aca="false">IF(B39=0,"—",IFERROR(AVERAGEIF('Raw Data (Preview)'!$B$3:$B$52,A39,'Raw Data (Preview)'!$L$3:$L$52),"—"))</f>
        <v>—</v>
      </c>
      <c r="I39" s="26" t="str">
        <f aca="false">IF(B39=0,"—",IFERROR(AVERAGEIF('Raw Data (Preview)'!$B$3:$B$52,A39,'Raw Data (Preview)'!$L$3:$L$52),"—"))</f>
        <v>—</v>
      </c>
      <c r="J39" s="25" t="str">
        <f aca="false">IF(B39=0,"—",IFERROR(F39/C39,"—"))</f>
        <v>—</v>
      </c>
    </row>
    <row r="40" customFormat="false" ht="15" hidden="false" customHeight="true" outlineLevel="0" collapsed="false">
      <c r="A40" s="27" t="s">
        <v>76</v>
      </c>
      <c r="B40" s="28" t="n">
        <f aca="false">COUNTIF('Raw Data (Preview)'!$B$3:$B$52,A40)</f>
        <v>0</v>
      </c>
      <c r="C40" s="29" t="str">
        <f aca="false">IF(B40=0,"—",AVERAGEIF('Raw Data (Preview)'!$B$3:$B$52,A40,'Raw Data (Preview)'!$E$3:$E$52))</f>
        <v>—</v>
      </c>
      <c r="D40" s="29" t="str">
        <f aca="false">IF(B40=0,"—",AVERAGEIF('Raw Data (Preview)'!$B$3:$B$52,A40,'Raw Data (Preview)'!$F$3:$F$52))</f>
        <v>—</v>
      </c>
      <c r="E40" s="30" t="str">
        <f aca="false">IF(B40=0,"—",AVERAGEIF('Raw Data (Preview)'!$B$3:$B$52,A40,'Raw Data (Preview)'!$I$3:$I$52))</f>
        <v>—</v>
      </c>
      <c r="F40" s="30" t="str">
        <f aca="false">IF(B40=0,"—",AVERAGEIF('Raw Data (Preview)'!$B$3:$B$52,A40,'Raw Data (Preview)'!$G$3:$G$52))</f>
        <v>—</v>
      </c>
      <c r="G40" s="30" t="str">
        <f aca="false">IF(B40=0,"—",AVERAGEIF('Raw Data (Preview)'!$B$3:$B$52,A40,'Raw Data (Preview)'!$H$3:$H$52))</f>
        <v>—</v>
      </c>
      <c r="H40" s="31" t="str">
        <f aca="false">IF(B40=0,"—",IFERROR(AVERAGEIF('Raw Data (Preview)'!$B$3:$B$52,A40,'Raw Data (Preview)'!$L$3:$L$52),"—"))</f>
        <v>—</v>
      </c>
      <c r="I40" s="31" t="str">
        <f aca="false">IF(B40=0,"—",IFERROR(AVERAGEIF('Raw Data (Preview)'!$B$3:$B$52,A40,'Raw Data (Preview)'!$L$3:$L$52),"—"))</f>
        <v>—</v>
      </c>
      <c r="J40" s="30" t="str">
        <f aca="false">IF(B40=0,"—",IFERROR(F40/C40,"—"))</f>
        <v>—</v>
      </c>
    </row>
    <row r="41" customFormat="false" ht="15" hidden="false" customHeight="true" outlineLevel="0" collapsed="false">
      <c r="A41" s="22" t="s">
        <v>77</v>
      </c>
      <c r="B41" s="23" t="n">
        <f aca="false">COUNTIF('Raw Data (Preview)'!$B$3:$B$52,A41)</f>
        <v>0</v>
      </c>
      <c r="C41" s="24" t="str">
        <f aca="false">IF(B41=0,"—",AVERAGEIF('Raw Data (Preview)'!$B$3:$B$52,A41,'Raw Data (Preview)'!$E$3:$E$52))</f>
        <v>—</v>
      </c>
      <c r="D41" s="24" t="str">
        <f aca="false">IF(B41=0,"—",AVERAGEIF('Raw Data (Preview)'!$B$3:$B$52,A41,'Raw Data (Preview)'!$F$3:$F$52))</f>
        <v>—</v>
      </c>
      <c r="E41" s="25" t="str">
        <f aca="false">IF(B41=0,"—",AVERAGEIF('Raw Data (Preview)'!$B$3:$B$52,A41,'Raw Data (Preview)'!$I$3:$I$52))</f>
        <v>—</v>
      </c>
      <c r="F41" s="25" t="str">
        <f aca="false">IF(B41=0,"—",AVERAGEIF('Raw Data (Preview)'!$B$3:$B$52,A41,'Raw Data (Preview)'!$G$3:$G$52))</f>
        <v>—</v>
      </c>
      <c r="G41" s="25" t="str">
        <f aca="false">IF(B41=0,"—",AVERAGEIF('Raw Data (Preview)'!$B$3:$B$52,A41,'Raw Data (Preview)'!$H$3:$H$52))</f>
        <v>—</v>
      </c>
      <c r="H41" s="26" t="str">
        <f aca="false">IF(B41=0,"—",IFERROR(AVERAGEIF('Raw Data (Preview)'!$B$3:$B$52,A41,'Raw Data (Preview)'!$L$3:$L$52),"—"))</f>
        <v>—</v>
      </c>
      <c r="I41" s="26" t="str">
        <f aca="false">IF(B41=0,"—",IFERROR(AVERAGEIF('Raw Data (Preview)'!$B$3:$B$52,A41,'Raw Data (Preview)'!$L$3:$L$52),"—"))</f>
        <v>—</v>
      </c>
      <c r="J41" s="25" t="str">
        <f aca="false">IF(B41=0,"—",IFERROR(F41/C41,"—"))</f>
        <v>—</v>
      </c>
    </row>
    <row r="42" customFormat="false" ht="15" hidden="false" customHeight="true" outlineLevel="0" collapsed="false">
      <c r="A42" s="27" t="s">
        <v>78</v>
      </c>
      <c r="B42" s="28" t="n">
        <f aca="false">COUNTIF('Raw Data (Preview)'!$B$3:$B$52,A42)</f>
        <v>1</v>
      </c>
      <c r="C42" s="29" t="n">
        <f aca="false">IF(B42=0,"—",AVERAGEIF('Raw Data (Preview)'!$B$3:$B$52,A42,'Raw Data (Preview)'!$E$3:$E$52))</f>
        <v>105</v>
      </c>
      <c r="D42" s="29" t="n">
        <f aca="false">IF(B42=0,"—",AVERAGEIF('Raw Data (Preview)'!$B$3:$B$52,A42,'Raw Data (Preview)'!$F$3:$F$52))</f>
        <v>0</v>
      </c>
      <c r="E42" s="30" t="n">
        <f aca="false">IF(B42=0,"—",AVERAGEIF('Raw Data (Preview)'!$B$3:$B$52,A42,'Raw Data (Preview)'!$I$3:$I$52))</f>
        <v>7.99</v>
      </c>
      <c r="F42" s="30" t="n">
        <f aca="false">IF(B42=0,"—",AVERAGEIF('Raw Data (Preview)'!$B$3:$B$52,A42,'Raw Data (Preview)'!$G$3:$G$52))</f>
        <v>21.09</v>
      </c>
      <c r="G42" s="30" t="n">
        <f aca="false">IF(B42=0,"—",AVERAGEIF('Raw Data (Preview)'!$B$3:$B$52,A42,'Raw Data (Preview)'!$H$3:$H$52))</f>
        <v>16.5</v>
      </c>
      <c r="H42" s="31" t="n">
        <f aca="false">IF(B42=0,"—",IFERROR(AVERAGEIF('Raw Data (Preview)'!$B$3:$B$52,A42,'Raw Data (Preview)'!$L$3:$L$52),"—"))</f>
        <v>163.9549436796</v>
      </c>
      <c r="I42" s="31" t="n">
        <f aca="false">IF(B42=0,"—",IFERROR(AVERAGEIF('Raw Data (Preview)'!$B$3:$B$52,A42,'Raw Data (Preview)'!$L$3:$L$52),"—"))</f>
        <v>163.9549436796</v>
      </c>
      <c r="J42" s="30" t="n">
        <f aca="false">IF(B42=0,"—",IFERROR(F42/C42,"—"))</f>
        <v>0.200857142857143</v>
      </c>
    </row>
    <row r="43" customFormat="false" ht="15" hidden="false" customHeight="true" outlineLevel="0" collapsed="false">
      <c r="A43" s="22" t="s">
        <v>79</v>
      </c>
      <c r="B43" s="23" t="n">
        <f aca="false">COUNTIF('Raw Data (Preview)'!$B$3:$B$52,A43)</f>
        <v>0</v>
      </c>
      <c r="C43" s="24" t="str">
        <f aca="false">IF(B43=0,"—",AVERAGEIF('Raw Data (Preview)'!$B$3:$B$52,A43,'Raw Data (Preview)'!$E$3:$E$52))</f>
        <v>—</v>
      </c>
      <c r="D43" s="24" t="str">
        <f aca="false">IF(B43=0,"—",AVERAGEIF('Raw Data (Preview)'!$B$3:$B$52,A43,'Raw Data (Preview)'!$F$3:$F$52))</f>
        <v>—</v>
      </c>
      <c r="E43" s="25" t="str">
        <f aca="false">IF(B43=0,"—",AVERAGEIF('Raw Data (Preview)'!$B$3:$B$52,A43,'Raw Data (Preview)'!$I$3:$I$52))</f>
        <v>—</v>
      </c>
      <c r="F43" s="25" t="str">
        <f aca="false">IF(B43=0,"—",AVERAGEIF('Raw Data (Preview)'!$B$3:$B$52,A43,'Raw Data (Preview)'!$G$3:$G$52))</f>
        <v>—</v>
      </c>
      <c r="G43" s="25" t="str">
        <f aca="false">IF(B43=0,"—",AVERAGEIF('Raw Data (Preview)'!$B$3:$B$52,A43,'Raw Data (Preview)'!$H$3:$H$52))</f>
        <v>—</v>
      </c>
      <c r="H43" s="26" t="str">
        <f aca="false">IF(B43=0,"—",IFERROR(AVERAGEIF('Raw Data (Preview)'!$B$3:$B$52,A43,'Raw Data (Preview)'!$L$3:$L$52),"—"))</f>
        <v>—</v>
      </c>
      <c r="I43" s="26" t="str">
        <f aca="false">IF(B43=0,"—",IFERROR(AVERAGEIF('Raw Data (Preview)'!$B$3:$B$52,A43,'Raw Data (Preview)'!$L$3:$L$52),"—"))</f>
        <v>—</v>
      </c>
      <c r="J43" s="25" t="str">
        <f aca="false">IF(B43=0,"—",IFERROR(F43/C43,"—"))</f>
        <v>—</v>
      </c>
    </row>
    <row r="44" customFormat="false" ht="15" hidden="false" customHeight="true" outlineLevel="0" collapsed="false">
      <c r="A44" s="27" t="s">
        <v>80</v>
      </c>
      <c r="B44" s="28" t="n">
        <f aca="false">COUNTIF('Raw Data (Preview)'!$B$3:$B$52,A44)</f>
        <v>0</v>
      </c>
      <c r="C44" s="29" t="str">
        <f aca="false">IF(B44=0,"—",AVERAGEIF('Raw Data (Preview)'!$B$3:$B$52,A44,'Raw Data (Preview)'!$E$3:$E$52))</f>
        <v>—</v>
      </c>
      <c r="D44" s="29" t="str">
        <f aca="false">IF(B44=0,"—",AVERAGEIF('Raw Data (Preview)'!$B$3:$B$52,A44,'Raw Data (Preview)'!$F$3:$F$52))</f>
        <v>—</v>
      </c>
      <c r="E44" s="30" t="str">
        <f aca="false">IF(B44=0,"—",AVERAGEIF('Raw Data (Preview)'!$B$3:$B$52,A44,'Raw Data (Preview)'!$I$3:$I$52))</f>
        <v>—</v>
      </c>
      <c r="F44" s="30" t="str">
        <f aca="false">IF(B44=0,"—",AVERAGEIF('Raw Data (Preview)'!$B$3:$B$52,A44,'Raw Data (Preview)'!$G$3:$G$52))</f>
        <v>—</v>
      </c>
      <c r="G44" s="30" t="str">
        <f aca="false">IF(B44=0,"—",AVERAGEIF('Raw Data (Preview)'!$B$3:$B$52,A44,'Raw Data (Preview)'!$H$3:$H$52))</f>
        <v>—</v>
      </c>
      <c r="H44" s="31" t="str">
        <f aca="false">IF(B44=0,"—",IFERROR(AVERAGEIF('Raw Data (Preview)'!$B$3:$B$52,A44,'Raw Data (Preview)'!$L$3:$L$52),"—"))</f>
        <v>—</v>
      </c>
      <c r="I44" s="31" t="str">
        <f aca="false">IF(B44=0,"—",IFERROR(AVERAGEIF('Raw Data (Preview)'!$B$3:$B$52,A44,'Raw Data (Preview)'!$L$3:$L$52),"—"))</f>
        <v>—</v>
      </c>
      <c r="J44" s="30" t="str">
        <f aca="false">IF(B44=0,"—",IFERROR(F44/C44,"—"))</f>
        <v>—</v>
      </c>
    </row>
    <row r="45" customFormat="false" ht="15" hidden="false" customHeight="true" outlineLevel="0" collapsed="false">
      <c r="A45" s="22" t="s">
        <v>81</v>
      </c>
      <c r="B45" s="23" t="n">
        <f aca="false">COUNTIF('Raw Data (Preview)'!$B$3:$B$52,A45)</f>
        <v>0</v>
      </c>
      <c r="C45" s="24" t="str">
        <f aca="false">IF(B45=0,"—",AVERAGEIF('Raw Data (Preview)'!$B$3:$B$52,A45,'Raw Data (Preview)'!$E$3:$E$52))</f>
        <v>—</v>
      </c>
      <c r="D45" s="24" t="str">
        <f aca="false">IF(B45=0,"—",AVERAGEIF('Raw Data (Preview)'!$B$3:$B$52,A45,'Raw Data (Preview)'!$F$3:$F$52))</f>
        <v>—</v>
      </c>
      <c r="E45" s="25" t="str">
        <f aca="false">IF(B45=0,"—",AVERAGEIF('Raw Data (Preview)'!$B$3:$B$52,A45,'Raw Data (Preview)'!$I$3:$I$52))</f>
        <v>—</v>
      </c>
      <c r="F45" s="25" t="str">
        <f aca="false">IF(B45=0,"—",AVERAGEIF('Raw Data (Preview)'!$B$3:$B$52,A45,'Raw Data (Preview)'!$G$3:$G$52))</f>
        <v>—</v>
      </c>
      <c r="G45" s="25" t="str">
        <f aca="false">IF(B45=0,"—",AVERAGEIF('Raw Data (Preview)'!$B$3:$B$52,A45,'Raw Data (Preview)'!$H$3:$H$52))</f>
        <v>—</v>
      </c>
      <c r="H45" s="26" t="str">
        <f aca="false">IF(B45=0,"—",IFERROR(AVERAGEIF('Raw Data (Preview)'!$B$3:$B$52,A45,'Raw Data (Preview)'!$L$3:$L$52),"—"))</f>
        <v>—</v>
      </c>
      <c r="I45" s="26" t="str">
        <f aca="false">IF(B45=0,"—",IFERROR(AVERAGEIF('Raw Data (Preview)'!$B$3:$B$52,A45,'Raw Data (Preview)'!$L$3:$L$52),"—"))</f>
        <v>—</v>
      </c>
      <c r="J45" s="25" t="str">
        <f aca="false">IF(B45=0,"—",IFERROR(F45/C45,"—"))</f>
        <v>—</v>
      </c>
    </row>
    <row r="46" customFormat="false" ht="15" hidden="false" customHeight="true" outlineLevel="0" collapsed="false">
      <c r="A46" s="27" t="s">
        <v>82</v>
      </c>
      <c r="B46" s="28" t="n">
        <f aca="false">COUNTIF('Raw Data (Preview)'!$B$3:$B$52,A46)</f>
        <v>0</v>
      </c>
      <c r="C46" s="29" t="str">
        <f aca="false">IF(B46=0,"—",AVERAGEIF('Raw Data (Preview)'!$B$3:$B$52,A46,'Raw Data (Preview)'!$E$3:$E$52))</f>
        <v>—</v>
      </c>
      <c r="D46" s="29" t="str">
        <f aca="false">IF(B46=0,"—",AVERAGEIF('Raw Data (Preview)'!$B$3:$B$52,A46,'Raw Data (Preview)'!$F$3:$F$52))</f>
        <v>—</v>
      </c>
      <c r="E46" s="30" t="str">
        <f aca="false">IF(B46=0,"—",AVERAGEIF('Raw Data (Preview)'!$B$3:$B$52,A46,'Raw Data (Preview)'!$I$3:$I$52))</f>
        <v>—</v>
      </c>
      <c r="F46" s="30" t="str">
        <f aca="false">IF(B46=0,"—",AVERAGEIF('Raw Data (Preview)'!$B$3:$B$52,A46,'Raw Data (Preview)'!$G$3:$G$52))</f>
        <v>—</v>
      </c>
      <c r="G46" s="30" t="str">
        <f aca="false">IF(B46=0,"—",AVERAGEIF('Raw Data (Preview)'!$B$3:$B$52,A46,'Raw Data (Preview)'!$H$3:$H$52))</f>
        <v>—</v>
      </c>
      <c r="H46" s="31" t="str">
        <f aca="false">IF(B46=0,"—",IFERROR(AVERAGEIF('Raw Data (Preview)'!$B$3:$B$52,A46,'Raw Data (Preview)'!$L$3:$L$52),"—"))</f>
        <v>—</v>
      </c>
      <c r="I46" s="31" t="str">
        <f aca="false">IF(B46=0,"—",IFERROR(AVERAGEIF('Raw Data (Preview)'!$B$3:$B$52,A46,'Raw Data (Preview)'!$L$3:$L$52),"—"))</f>
        <v>—</v>
      </c>
      <c r="J46" s="30" t="str">
        <f aca="false">IF(B46=0,"—",IFERROR(F46/C46,"—"))</f>
        <v>—</v>
      </c>
    </row>
    <row r="47" customFormat="false" ht="14.25" hidden="false" customHeight="true" outlineLevel="0" collapsed="false">
      <c r="A47" s="32" t="s">
        <v>83</v>
      </c>
      <c r="B47" s="33" t="n">
        <f aca="false">COUNTA('Raw Data (Preview)'!$A$3:$A$52)</f>
        <v>50</v>
      </c>
      <c r="C47" s="34" t="n">
        <f aca="false">ROUND(AVERAGE('Raw Data (Preview)'!$E$3:$E$52),2)</f>
        <v>1228.76</v>
      </c>
      <c r="D47" s="34" t="n">
        <f aca="false">ROUND(AVERAGE('Raw Data (Preview)'!$F$3:$F$52),2)</f>
        <v>2.56</v>
      </c>
      <c r="E47" s="35" t="n">
        <f aca="false">ROUND(AVERAGE('Raw Data (Preview)'!$I$3:$I$52),2)</f>
        <v>108.25</v>
      </c>
      <c r="F47" s="35" t="n">
        <f aca="false">ROUND(AVERAGE('Raw Data (Preview)'!$G$3:$G$52),2)</f>
        <v>497.4</v>
      </c>
      <c r="G47" s="35" t="n">
        <f aca="false">ROUND(AVERAGE('Raw Data (Preview)'!$H$3:$H$52),2)</f>
        <v>274.09</v>
      </c>
      <c r="H47" s="36" t="n">
        <f aca="false">ROUND(AVERAGE('Raw Data (Preview)'!$L$3:$L$52),2)</f>
        <v>412.67</v>
      </c>
      <c r="I47" s="36" t="n">
        <f aca="false">ROUND(AVERAGE('Raw Data (Preview)'!$L$3:$L$52),2)</f>
        <v>412.67</v>
      </c>
      <c r="J47" s="35" t="n">
        <f aca="false">IFERROR(F47/C47,"")</f>
        <v>0.404798333279078</v>
      </c>
    </row>
    <row r="49" customFormat="false" ht="14.25" hidden="false" customHeight="true" outlineLevel="0" collapsed="false">
      <c r="A49" s="1" t="s">
        <v>84</v>
      </c>
    </row>
    <row r="50" customFormat="false" ht="14.25" hidden="false" customHeight="true" outlineLevel="0" collapsed="false">
      <c r="A50" s="37" t="s">
        <v>85</v>
      </c>
      <c r="B50" s="37"/>
      <c r="C50" s="37"/>
      <c r="D50" s="37"/>
      <c r="E50" s="37"/>
    </row>
    <row r="75" customFormat="false" ht="14.25" hidden="false" customHeight="true" outlineLevel="0" collapsed="false">
      <c r="A75" s="38" t="s">
        <v>86</v>
      </c>
      <c r="B75" s="38"/>
      <c r="C75" s="38"/>
      <c r="D75" s="38"/>
      <c r="E75" s="38"/>
    </row>
    <row r="101" customFormat="false" ht="14.25" hidden="false" customHeight="true" outlineLevel="0" collapsed="false">
      <c r="A101" s="39" t="s">
        <v>87</v>
      </c>
      <c r="B101" s="39"/>
      <c r="C101" s="39"/>
      <c r="D101" s="39"/>
      <c r="E101" s="39"/>
    </row>
    <row r="128" customFormat="false" ht="14.25" hidden="false" customHeight="true" outlineLevel="0" collapsed="false">
      <c r="A128" s="40" t="s">
        <v>88</v>
      </c>
      <c r="B128" s="40"/>
      <c r="C128" s="40"/>
      <c r="D128" s="40"/>
      <c r="E128" s="40"/>
    </row>
  </sheetData>
  <mergeCells count="5">
    <mergeCell ref="A1:J1"/>
    <mergeCell ref="A50:E50"/>
    <mergeCell ref="A75:E75"/>
    <mergeCell ref="A101:E101"/>
    <mergeCell ref="A128:E1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001F"/>
    <pageSetUpPr fitToPage="false"/>
  </sheetPr>
  <dimension ref="A1:H36"/>
  <sheetViews>
    <sheetView showFormulas="false" showGridLines="fals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F9" activeCellId="0" sqref="F9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7" min="6" style="1" width="20"/>
    <col collapsed="false" customWidth="true" hidden="false" outlineLevel="0" max="8" min="8" style="1" width="16"/>
  </cols>
  <sheetData>
    <row r="1" customFormat="false" ht="30" hidden="false" customHeight="true" outlineLevel="0" collapsed="false">
      <c r="A1" s="20" t="s">
        <v>89</v>
      </c>
      <c r="B1" s="20"/>
      <c r="C1" s="20"/>
      <c r="D1" s="20"/>
      <c r="E1" s="20"/>
      <c r="F1" s="20"/>
      <c r="G1" s="20"/>
      <c r="H1" s="20"/>
    </row>
    <row r="2" customFormat="false" ht="18" hidden="false" customHeight="true" outlineLevel="0" collapsed="false">
      <c r="A2" s="41" t="s">
        <v>90</v>
      </c>
      <c r="B2" s="41" t="s">
        <v>30</v>
      </c>
      <c r="C2" s="41" t="s">
        <v>31</v>
      </c>
      <c r="D2" s="41" t="s">
        <v>32</v>
      </c>
      <c r="E2" s="41" t="s">
        <v>33</v>
      </c>
      <c r="F2" s="41" t="s">
        <v>34</v>
      </c>
      <c r="G2" s="41" t="s">
        <v>35</v>
      </c>
      <c r="H2" s="41" t="s">
        <v>36</v>
      </c>
    </row>
    <row r="3" customFormat="false" ht="13.5" hidden="false" customHeight="true" outlineLevel="0" collapsed="false">
      <c r="A3" s="22" t="n">
        <v>1981</v>
      </c>
      <c r="B3" s="23" t="n">
        <f aca="false">COUNTIF('Raw Data (Preview)'!$D$3:$D$52,A3)</f>
        <v>0</v>
      </c>
      <c r="C3" s="24" t="str">
        <f aca="false">IF(B3=0,"—",ROUND(AVERAGEIF('Raw Data (Preview)'!$D$3:$D$52,A3,'Raw Data (Preview)'!$E$3:$E$52),2))</f>
        <v>—</v>
      </c>
      <c r="D3" s="24" t="str">
        <f aca="false">IF(B3=0,"—",ROUND(AVERAGEIF('Raw Data (Preview)'!$D$3:$D$52,A3,'Raw Data (Preview)'!$F$3:$F$52),2))</f>
        <v>—</v>
      </c>
      <c r="E3" s="25" t="str">
        <f aca="false">IF(B3=0,"—",ROUND(AVERAGEIF('Raw Data (Preview)'!$D$3:$D$52,A3,'Raw Data (Preview)'!$I$3:$I$52),2))</f>
        <v>—</v>
      </c>
      <c r="F3" s="25" t="str">
        <f aca="false">IF(B3=0,"—",ROUND(AVERAGEIF('Raw Data (Preview)'!$D$3:$D$52,A3,'Raw Data (Preview)'!$G$3:$G$52),2))</f>
        <v>—</v>
      </c>
      <c r="G3" s="25" t="str">
        <f aca="false">IF(B3=0,"—",ROUND(AVERAGEIF('Raw Data (Preview)'!$D$3:$D$52,A3,'Raw Data (Preview)'!$H$3:$H$52),2))</f>
        <v>—</v>
      </c>
      <c r="H3" s="26" t="str">
        <f aca="false">IF(B3=0,"—",ROUND(IFERROR(AVERAGEIF('Raw Data (Preview)'!$D$3:$D$52,A3,'Raw Data (Preview)'!$L$3:$L$52),"—"),2))</f>
        <v>—</v>
      </c>
    </row>
    <row r="4" customFormat="false" ht="13.5" hidden="false" customHeight="true" outlineLevel="0" collapsed="false">
      <c r="A4" s="27" t="n">
        <v>1984</v>
      </c>
      <c r="B4" s="28" t="n">
        <f aca="false">COUNTIF('Raw Data (Preview)'!$D$3:$D$52,A4)</f>
        <v>0</v>
      </c>
      <c r="C4" s="29" t="str">
        <f aca="false">IF(B4=0,"—",ROUND(AVERAGEIF('Raw Data (Preview)'!$D$3:$D$52,A4,'Raw Data (Preview)'!$E$3:$E$52),2))</f>
        <v>—</v>
      </c>
      <c r="D4" s="29" t="str">
        <f aca="false">IF(B4=0,"—",ROUND(AVERAGEIF('Raw Data (Preview)'!$D$3:$D$52,A4,'Raw Data (Preview)'!$F$3:$F$52),2))</f>
        <v>—</v>
      </c>
      <c r="E4" s="30" t="str">
        <f aca="false">IF(B4=0,"—",ROUND(AVERAGEIF('Raw Data (Preview)'!$D$3:$D$52,A4,'Raw Data (Preview)'!$I$3:$I$52),2))</f>
        <v>—</v>
      </c>
      <c r="F4" s="30" t="str">
        <f aca="false">IF(B4=0,"—",ROUND(AVERAGEIF('Raw Data (Preview)'!$D$3:$D$52,A4,'Raw Data (Preview)'!$G$3:$G$52),2))</f>
        <v>—</v>
      </c>
      <c r="G4" s="30" t="str">
        <f aca="false">IF(B4=0,"—",ROUND(AVERAGEIF('Raw Data (Preview)'!$D$3:$D$52,A4,'Raw Data (Preview)'!$H$3:$H$52),2))</f>
        <v>—</v>
      </c>
      <c r="H4" s="31" t="str">
        <f aca="false">IF(B4=0,"—",ROUND(IFERROR(AVERAGEIF('Raw Data (Preview)'!$D$3:$D$52,A4,'Raw Data (Preview)'!$L$3:$L$52),"—"),2))</f>
        <v>—</v>
      </c>
    </row>
    <row r="5" customFormat="false" ht="13.5" hidden="false" customHeight="true" outlineLevel="0" collapsed="false">
      <c r="A5" s="22" t="n">
        <v>1986</v>
      </c>
      <c r="B5" s="23" t="n">
        <f aca="false">COUNTIF('Raw Data (Preview)'!$D$3:$D$52,A5)</f>
        <v>0</v>
      </c>
      <c r="C5" s="24" t="str">
        <f aca="false">IF(B5=0,"—",ROUND(AVERAGEIF('Raw Data (Preview)'!$D$3:$D$52,A5,'Raw Data (Preview)'!$E$3:$E$52),2))</f>
        <v>—</v>
      </c>
      <c r="D5" s="24" t="str">
        <f aca="false">IF(B5=0,"—",ROUND(AVERAGEIF('Raw Data (Preview)'!$D$3:$D$52,A5,'Raw Data (Preview)'!$F$3:$F$52),2))</f>
        <v>—</v>
      </c>
      <c r="E5" s="25" t="str">
        <f aca="false">IF(B5=0,"—",ROUND(AVERAGEIF('Raw Data (Preview)'!$D$3:$D$52,A5,'Raw Data (Preview)'!$I$3:$I$52),2))</f>
        <v>—</v>
      </c>
      <c r="F5" s="25" t="str">
        <f aca="false">IF(B5=0,"—",ROUND(AVERAGEIF('Raw Data (Preview)'!$D$3:$D$52,A5,'Raw Data (Preview)'!$G$3:$G$52),2))</f>
        <v>—</v>
      </c>
      <c r="G5" s="25" t="str">
        <f aca="false">IF(B5=0,"—",ROUND(AVERAGEIF('Raw Data (Preview)'!$D$3:$D$52,A5,'Raw Data (Preview)'!$H$3:$H$52),2))</f>
        <v>—</v>
      </c>
      <c r="H5" s="26" t="str">
        <f aca="false">IF(B5=0,"—",ROUND(IFERROR(AVERAGEIF('Raw Data (Preview)'!$D$3:$D$52,A5,'Raw Data (Preview)'!$L$3:$L$52),"—"),2))</f>
        <v>—</v>
      </c>
    </row>
    <row r="6" customFormat="false" ht="13.5" hidden="false" customHeight="true" outlineLevel="0" collapsed="false">
      <c r="A6" s="27" t="n">
        <v>1987</v>
      </c>
      <c r="B6" s="28" t="n">
        <f aca="false">COUNTIF('Raw Data (Preview)'!$D$3:$D$52,A6)</f>
        <v>0</v>
      </c>
      <c r="C6" s="29" t="str">
        <f aca="false">IF(B6=0,"—",ROUND(AVERAGEIF('Raw Data (Preview)'!$D$3:$D$52,A6,'Raw Data (Preview)'!$E$3:$E$52),2))</f>
        <v>—</v>
      </c>
      <c r="D6" s="29" t="str">
        <f aca="false">IF(B6=0,"—",ROUND(AVERAGEIF('Raw Data (Preview)'!$D$3:$D$52,A6,'Raw Data (Preview)'!$F$3:$F$52),2))</f>
        <v>—</v>
      </c>
      <c r="E6" s="30" t="str">
        <f aca="false">IF(B6=0,"—",ROUND(AVERAGEIF('Raw Data (Preview)'!$D$3:$D$52,A6,'Raw Data (Preview)'!$I$3:$I$52),2))</f>
        <v>—</v>
      </c>
      <c r="F6" s="30" t="str">
        <f aca="false">IF(B6=0,"—",ROUND(AVERAGEIF('Raw Data (Preview)'!$D$3:$D$52,A6,'Raw Data (Preview)'!$G$3:$G$52),2))</f>
        <v>—</v>
      </c>
      <c r="G6" s="30" t="str">
        <f aca="false">IF(B6=0,"—",ROUND(AVERAGEIF('Raw Data (Preview)'!$D$3:$D$52,A6,'Raw Data (Preview)'!$H$3:$H$52),2))</f>
        <v>—</v>
      </c>
      <c r="H6" s="31" t="str">
        <f aca="false">IF(B6=0,"—",ROUND(IFERROR(AVERAGEIF('Raw Data (Preview)'!$D$3:$D$52,A6,'Raw Data (Preview)'!$L$3:$L$52),"—"),2))</f>
        <v>—</v>
      </c>
    </row>
    <row r="7" customFormat="false" ht="13.5" hidden="false" customHeight="true" outlineLevel="0" collapsed="false">
      <c r="A7" s="22" t="n">
        <v>1988</v>
      </c>
      <c r="B7" s="23" t="n">
        <f aca="false">COUNTIF('Raw Data (Preview)'!$D$3:$D$52,A7)</f>
        <v>0</v>
      </c>
      <c r="C7" s="24" t="str">
        <f aca="false">IF(B7=0,"—",ROUND(AVERAGEIF('Raw Data (Preview)'!$D$3:$D$52,A7,'Raw Data (Preview)'!$E$3:$E$52),2))</f>
        <v>—</v>
      </c>
      <c r="D7" s="24" t="str">
        <f aca="false">IF(B7=0,"—",ROUND(AVERAGEIF('Raw Data (Preview)'!$D$3:$D$52,A7,'Raw Data (Preview)'!$F$3:$F$52),2))</f>
        <v>—</v>
      </c>
      <c r="E7" s="25" t="str">
        <f aca="false">IF(B7=0,"—",ROUND(AVERAGEIF('Raw Data (Preview)'!$D$3:$D$52,A7,'Raw Data (Preview)'!$I$3:$I$52),2))</f>
        <v>—</v>
      </c>
      <c r="F7" s="25" t="str">
        <f aca="false">IF(B7=0,"—",ROUND(AVERAGEIF('Raw Data (Preview)'!$D$3:$D$52,A7,'Raw Data (Preview)'!$G$3:$G$52),2))</f>
        <v>—</v>
      </c>
      <c r="G7" s="25" t="str">
        <f aca="false">IF(B7=0,"—",ROUND(AVERAGEIF('Raw Data (Preview)'!$D$3:$D$52,A7,'Raw Data (Preview)'!$H$3:$H$52),2))</f>
        <v>—</v>
      </c>
      <c r="H7" s="26" t="str">
        <f aca="false">IF(B7=0,"—",ROUND(IFERROR(AVERAGEIF('Raw Data (Preview)'!$D$3:$D$52,A7,'Raw Data (Preview)'!$L$3:$L$52),"—"),2))</f>
        <v>—</v>
      </c>
    </row>
    <row r="8" customFormat="false" ht="13.5" hidden="false" customHeight="true" outlineLevel="0" collapsed="false">
      <c r="A8" s="27" t="n">
        <v>1989</v>
      </c>
      <c r="B8" s="28" t="n">
        <f aca="false">COUNTIF('Raw Data (Preview)'!$D$3:$D$52,A8)</f>
        <v>0</v>
      </c>
      <c r="C8" s="29" t="str">
        <f aca="false">IF(B8=0,"—",ROUND(AVERAGEIF('Raw Data (Preview)'!$D$3:$D$52,A8,'Raw Data (Preview)'!$E$3:$E$52),2))</f>
        <v>—</v>
      </c>
      <c r="D8" s="29" t="str">
        <f aca="false">IF(B8=0,"—",ROUND(AVERAGEIF('Raw Data (Preview)'!$D$3:$D$52,A8,'Raw Data (Preview)'!$F$3:$F$52),2))</f>
        <v>—</v>
      </c>
      <c r="E8" s="30" t="str">
        <f aca="false">IF(B8=0,"—",ROUND(AVERAGEIF('Raw Data (Preview)'!$D$3:$D$52,A8,'Raw Data (Preview)'!$I$3:$I$52),2))</f>
        <v>—</v>
      </c>
      <c r="F8" s="30" t="str">
        <f aca="false">IF(B8=0,"—",ROUND(AVERAGEIF('Raw Data (Preview)'!$D$3:$D$52,A8,'Raw Data (Preview)'!$G$3:$G$52),2))</f>
        <v>—</v>
      </c>
      <c r="G8" s="30" t="str">
        <f aca="false">IF(B8=0,"—",ROUND(AVERAGEIF('Raw Data (Preview)'!$D$3:$D$52,A8,'Raw Data (Preview)'!$H$3:$H$52),2))</f>
        <v>—</v>
      </c>
      <c r="H8" s="31" t="str">
        <f aca="false">IF(B8=0,"—",ROUND(IFERROR(AVERAGEIF('Raw Data (Preview)'!$D$3:$D$52,A8,'Raw Data (Preview)'!$L$3:$L$52),"—"),2))</f>
        <v>—</v>
      </c>
    </row>
    <row r="9" customFormat="false" ht="13.5" hidden="false" customHeight="true" outlineLevel="0" collapsed="false">
      <c r="A9" s="22" t="n">
        <v>1990</v>
      </c>
      <c r="B9" s="23" t="n">
        <f aca="false">COUNTIF('Raw Data (Preview)'!$D$3:$D$52,A9)</f>
        <v>0</v>
      </c>
      <c r="C9" s="24" t="str">
        <f aca="false">IF(B9=0,"—",ROUND(AVERAGEIF('Raw Data (Preview)'!$D$3:$D$52,A9,'Raw Data (Preview)'!$E$3:$E$52),2))</f>
        <v>—</v>
      </c>
      <c r="D9" s="24" t="str">
        <f aca="false">IF(B9=0,"—",ROUND(AVERAGEIF('Raw Data (Preview)'!$D$3:$D$52,A9,'Raw Data (Preview)'!$F$3:$F$52),2))</f>
        <v>—</v>
      </c>
      <c r="E9" s="25" t="str">
        <f aca="false">IF(B9=0,"—",ROUND(AVERAGEIF('Raw Data (Preview)'!$D$3:$D$52,A9,'Raw Data (Preview)'!$I$3:$I$52),2))</f>
        <v>—</v>
      </c>
      <c r="F9" s="25" t="str">
        <f aca="false">IF(B9=0,"—",ROUND(AVERAGEIF('Raw Data (Preview)'!$D$3:$D$52,A9,'Raw Data (Preview)'!$G$3:$G$52),2))</f>
        <v>—</v>
      </c>
      <c r="G9" s="25" t="str">
        <f aca="false">IF(B9=0,"—",ROUND(AVERAGEIF('Raw Data (Preview)'!$D$3:$D$52,A9,'Raw Data (Preview)'!$H$3:$H$52),2))</f>
        <v>—</v>
      </c>
      <c r="H9" s="26" t="str">
        <f aca="false">IF(B9=0,"—",ROUND(IFERROR(AVERAGEIF('Raw Data (Preview)'!$D$3:$D$52,A9,'Raw Data (Preview)'!$L$3:$L$52),"—"),2))</f>
        <v>—</v>
      </c>
    </row>
    <row r="10" customFormat="false" ht="13.5" hidden="false" customHeight="true" outlineLevel="0" collapsed="false">
      <c r="A10" s="27" t="n">
        <v>1991</v>
      </c>
      <c r="B10" s="28" t="n">
        <f aca="false">COUNTIF('Raw Data (Preview)'!$D$3:$D$52,A10)</f>
        <v>0</v>
      </c>
      <c r="C10" s="29" t="str">
        <f aca="false">IF(B10=0,"—",ROUND(AVERAGEIF('Raw Data (Preview)'!$D$3:$D$52,A10,'Raw Data (Preview)'!$E$3:$E$52),2))</f>
        <v>—</v>
      </c>
      <c r="D10" s="29" t="str">
        <f aca="false">IF(B10=0,"—",ROUND(AVERAGEIF('Raw Data (Preview)'!$D$3:$D$52,A10,'Raw Data (Preview)'!$F$3:$F$52),2))</f>
        <v>—</v>
      </c>
      <c r="E10" s="30" t="str">
        <f aca="false">IF(B10=0,"—",ROUND(AVERAGEIF('Raw Data (Preview)'!$D$3:$D$52,A10,'Raw Data (Preview)'!$I$3:$I$52),2))</f>
        <v>—</v>
      </c>
      <c r="F10" s="30" t="str">
        <f aca="false">IF(B10=0,"—",ROUND(AVERAGEIF('Raw Data (Preview)'!$D$3:$D$52,A10,'Raw Data (Preview)'!$G$3:$G$52),2))</f>
        <v>—</v>
      </c>
      <c r="G10" s="30" t="str">
        <f aca="false">IF(B10=0,"—",ROUND(AVERAGEIF('Raw Data (Preview)'!$D$3:$D$52,A10,'Raw Data (Preview)'!$H$3:$H$52),2))</f>
        <v>—</v>
      </c>
      <c r="H10" s="31" t="str">
        <f aca="false">IF(B10=0,"—",ROUND(IFERROR(AVERAGEIF('Raw Data (Preview)'!$D$3:$D$52,A10,'Raw Data (Preview)'!$L$3:$L$52),"—"),2))</f>
        <v>—</v>
      </c>
    </row>
    <row r="11" customFormat="false" ht="13.5" hidden="false" customHeight="true" outlineLevel="0" collapsed="false">
      <c r="A11" s="22" t="n">
        <v>1992</v>
      </c>
      <c r="B11" s="23" t="n">
        <f aca="false">COUNTIF('Raw Data (Preview)'!$D$3:$D$52,A11)</f>
        <v>0</v>
      </c>
      <c r="C11" s="24" t="str">
        <f aca="false">IF(B11=0,"—",ROUND(AVERAGEIF('Raw Data (Preview)'!$D$3:$D$52,A11,'Raw Data (Preview)'!$E$3:$E$52),2))</f>
        <v>—</v>
      </c>
      <c r="D11" s="24" t="str">
        <f aca="false">IF(B11=0,"—",ROUND(AVERAGEIF('Raw Data (Preview)'!$D$3:$D$52,A11,'Raw Data (Preview)'!$F$3:$F$52),2))</f>
        <v>—</v>
      </c>
      <c r="E11" s="25" t="str">
        <f aca="false">IF(B11=0,"—",ROUND(AVERAGEIF('Raw Data (Preview)'!$D$3:$D$52,A11,'Raw Data (Preview)'!$I$3:$I$52),2))</f>
        <v>—</v>
      </c>
      <c r="F11" s="25" t="str">
        <f aca="false">IF(B11=0,"—",ROUND(AVERAGEIF('Raw Data (Preview)'!$D$3:$D$52,A11,'Raw Data (Preview)'!$G$3:$G$52),2))</f>
        <v>—</v>
      </c>
      <c r="G11" s="25" t="str">
        <f aca="false">IF(B11=0,"—",ROUND(AVERAGEIF('Raw Data (Preview)'!$D$3:$D$52,A11,'Raw Data (Preview)'!$H$3:$H$52),2))</f>
        <v>—</v>
      </c>
      <c r="H11" s="26" t="str">
        <f aca="false">IF(B11=0,"—",ROUND(IFERROR(AVERAGEIF('Raw Data (Preview)'!$D$3:$D$52,A11,'Raw Data (Preview)'!$L$3:$L$52),"—"),2))</f>
        <v>—</v>
      </c>
    </row>
    <row r="12" customFormat="false" ht="13.5" hidden="false" customHeight="true" outlineLevel="0" collapsed="false">
      <c r="A12" s="27" t="n">
        <v>1993</v>
      </c>
      <c r="B12" s="28" t="n">
        <f aca="false">COUNTIF('Raw Data (Preview)'!$D$3:$D$52,A12)</f>
        <v>0</v>
      </c>
      <c r="C12" s="29" t="str">
        <f aca="false">IF(B12=0,"—",ROUND(AVERAGEIF('Raw Data (Preview)'!$D$3:$D$52,A12,'Raw Data (Preview)'!$E$3:$E$52),2))</f>
        <v>—</v>
      </c>
      <c r="D12" s="29" t="str">
        <f aca="false">IF(B12=0,"—",ROUND(AVERAGEIF('Raw Data (Preview)'!$D$3:$D$52,A12,'Raw Data (Preview)'!$F$3:$F$52),2))</f>
        <v>—</v>
      </c>
      <c r="E12" s="30" t="str">
        <f aca="false">IF(B12=0,"—",ROUND(AVERAGEIF('Raw Data (Preview)'!$D$3:$D$52,A12,'Raw Data (Preview)'!$I$3:$I$52),2))</f>
        <v>—</v>
      </c>
      <c r="F12" s="30" t="str">
        <f aca="false">IF(B12=0,"—",ROUND(AVERAGEIF('Raw Data (Preview)'!$D$3:$D$52,A12,'Raw Data (Preview)'!$G$3:$G$52),2))</f>
        <v>—</v>
      </c>
      <c r="G12" s="30" t="str">
        <f aca="false">IF(B12=0,"—",ROUND(AVERAGEIF('Raw Data (Preview)'!$D$3:$D$52,A12,'Raw Data (Preview)'!$H$3:$H$52),2))</f>
        <v>—</v>
      </c>
      <c r="H12" s="31" t="str">
        <f aca="false">IF(B12=0,"—",ROUND(IFERROR(AVERAGEIF('Raw Data (Preview)'!$D$3:$D$52,A12,'Raw Data (Preview)'!$L$3:$L$52),"—"),2))</f>
        <v>—</v>
      </c>
    </row>
    <row r="13" customFormat="false" ht="13.5" hidden="false" customHeight="true" outlineLevel="0" collapsed="false">
      <c r="A13" s="22" t="n">
        <v>1994</v>
      </c>
      <c r="B13" s="23" t="n">
        <f aca="false">COUNTIF('Raw Data (Preview)'!$D$3:$D$52,A13)</f>
        <v>0</v>
      </c>
      <c r="C13" s="24" t="str">
        <f aca="false">IF(B13=0,"—",ROUND(AVERAGEIF('Raw Data (Preview)'!$D$3:$D$52,A13,'Raw Data (Preview)'!$E$3:$E$52),2))</f>
        <v>—</v>
      </c>
      <c r="D13" s="24" t="str">
        <f aca="false">IF(B13=0,"—",ROUND(AVERAGEIF('Raw Data (Preview)'!$D$3:$D$52,A13,'Raw Data (Preview)'!$F$3:$F$52),2))</f>
        <v>—</v>
      </c>
      <c r="E13" s="25" t="str">
        <f aca="false">IF(B13=0,"—",ROUND(AVERAGEIF('Raw Data (Preview)'!$D$3:$D$52,A13,'Raw Data (Preview)'!$I$3:$I$52),2))</f>
        <v>—</v>
      </c>
      <c r="F13" s="25" t="str">
        <f aca="false">IF(B13=0,"—",ROUND(AVERAGEIF('Raw Data (Preview)'!$D$3:$D$52,A13,'Raw Data (Preview)'!$G$3:$G$52),2))</f>
        <v>—</v>
      </c>
      <c r="G13" s="25" t="str">
        <f aca="false">IF(B13=0,"—",ROUND(AVERAGEIF('Raw Data (Preview)'!$D$3:$D$52,A13,'Raw Data (Preview)'!$H$3:$H$52),2))</f>
        <v>—</v>
      </c>
      <c r="H13" s="26" t="str">
        <f aca="false">IF(B13=0,"—",ROUND(IFERROR(AVERAGEIF('Raw Data (Preview)'!$D$3:$D$52,A13,'Raw Data (Preview)'!$L$3:$L$52),"—"),2))</f>
        <v>—</v>
      </c>
    </row>
    <row r="14" customFormat="false" ht="13.5" hidden="false" customHeight="true" outlineLevel="0" collapsed="false">
      <c r="A14" s="27" t="n">
        <v>1995</v>
      </c>
      <c r="B14" s="28" t="n">
        <f aca="false">COUNTIF('Raw Data (Preview)'!$D$3:$D$52,A14)</f>
        <v>0</v>
      </c>
      <c r="C14" s="29" t="str">
        <f aca="false">IF(B14=0,"—",ROUND(AVERAGEIF('Raw Data (Preview)'!$D$3:$D$52,A14,'Raw Data (Preview)'!$E$3:$E$52),2))</f>
        <v>—</v>
      </c>
      <c r="D14" s="29" t="str">
        <f aca="false">IF(B14=0,"—",ROUND(AVERAGEIF('Raw Data (Preview)'!$D$3:$D$52,A14,'Raw Data (Preview)'!$F$3:$F$52),2))</f>
        <v>—</v>
      </c>
      <c r="E14" s="30" t="str">
        <f aca="false">IF(B14=0,"—",ROUND(AVERAGEIF('Raw Data (Preview)'!$D$3:$D$52,A14,'Raw Data (Preview)'!$I$3:$I$52),2))</f>
        <v>—</v>
      </c>
      <c r="F14" s="30" t="str">
        <f aca="false">IF(B14=0,"—",ROUND(AVERAGEIF('Raw Data (Preview)'!$D$3:$D$52,A14,'Raw Data (Preview)'!$G$3:$G$52),2))</f>
        <v>—</v>
      </c>
      <c r="G14" s="30" t="str">
        <f aca="false">IF(B14=0,"—",ROUND(AVERAGEIF('Raw Data (Preview)'!$D$3:$D$52,A14,'Raw Data (Preview)'!$H$3:$H$52),2))</f>
        <v>—</v>
      </c>
      <c r="H14" s="31" t="str">
        <f aca="false">IF(B14=0,"—",ROUND(IFERROR(AVERAGEIF('Raw Data (Preview)'!$D$3:$D$52,A14,'Raw Data (Preview)'!$L$3:$L$52),"—"),2))</f>
        <v>—</v>
      </c>
    </row>
    <row r="15" customFormat="false" ht="13.5" hidden="false" customHeight="true" outlineLevel="0" collapsed="false">
      <c r="A15" s="22" t="n">
        <v>1996</v>
      </c>
      <c r="B15" s="23" t="n">
        <f aca="false">COUNTIF('Raw Data (Preview)'!$D$3:$D$52,A15)</f>
        <v>0</v>
      </c>
      <c r="C15" s="24" t="str">
        <f aca="false">IF(B15=0,"—",ROUND(AVERAGEIF('Raw Data (Preview)'!$D$3:$D$52,A15,'Raw Data (Preview)'!$E$3:$E$52),2))</f>
        <v>—</v>
      </c>
      <c r="D15" s="24" t="str">
        <f aca="false">IF(B15=0,"—",ROUND(AVERAGEIF('Raw Data (Preview)'!$D$3:$D$52,A15,'Raw Data (Preview)'!$F$3:$F$52),2))</f>
        <v>—</v>
      </c>
      <c r="E15" s="25" t="str">
        <f aca="false">IF(B15=0,"—",ROUND(AVERAGEIF('Raw Data (Preview)'!$D$3:$D$52,A15,'Raw Data (Preview)'!$I$3:$I$52),2))</f>
        <v>—</v>
      </c>
      <c r="F15" s="25" t="str">
        <f aca="false">IF(B15=0,"—",ROUND(AVERAGEIF('Raw Data (Preview)'!$D$3:$D$52,A15,'Raw Data (Preview)'!$G$3:$G$52),2))</f>
        <v>—</v>
      </c>
      <c r="G15" s="25" t="str">
        <f aca="false">IF(B15=0,"—",ROUND(AVERAGEIF('Raw Data (Preview)'!$D$3:$D$52,A15,'Raw Data (Preview)'!$H$3:$H$52),2))</f>
        <v>—</v>
      </c>
      <c r="H15" s="26" t="str">
        <f aca="false">IF(B15=0,"—",ROUND(IFERROR(AVERAGEIF('Raw Data (Preview)'!$D$3:$D$52,A15,'Raw Data (Preview)'!$L$3:$L$52),"—"),2))</f>
        <v>—</v>
      </c>
    </row>
    <row r="16" customFormat="false" ht="13.5" hidden="false" customHeight="true" outlineLevel="0" collapsed="false">
      <c r="A16" s="27" t="n">
        <v>1997</v>
      </c>
      <c r="B16" s="28" t="n">
        <f aca="false">COUNTIF('Raw Data (Preview)'!$D$3:$D$52,A16)</f>
        <v>0</v>
      </c>
      <c r="C16" s="29" t="str">
        <f aca="false">IF(B16=0,"—",ROUND(AVERAGEIF('Raw Data (Preview)'!$D$3:$D$52,A16,'Raw Data (Preview)'!$E$3:$E$52),2))</f>
        <v>—</v>
      </c>
      <c r="D16" s="29" t="str">
        <f aca="false">IF(B16=0,"—",ROUND(AVERAGEIF('Raw Data (Preview)'!$D$3:$D$52,A16,'Raw Data (Preview)'!$F$3:$F$52),2))</f>
        <v>—</v>
      </c>
      <c r="E16" s="30" t="str">
        <f aca="false">IF(B16=0,"—",ROUND(AVERAGEIF('Raw Data (Preview)'!$D$3:$D$52,A16,'Raw Data (Preview)'!$I$3:$I$52),2))</f>
        <v>—</v>
      </c>
      <c r="F16" s="30" t="str">
        <f aca="false">IF(B16=0,"—",ROUND(AVERAGEIF('Raw Data (Preview)'!$D$3:$D$52,A16,'Raw Data (Preview)'!$G$3:$G$52),2))</f>
        <v>—</v>
      </c>
      <c r="G16" s="30" t="str">
        <f aca="false">IF(B16=0,"—",ROUND(AVERAGEIF('Raw Data (Preview)'!$D$3:$D$52,A16,'Raw Data (Preview)'!$H$3:$H$52),2))</f>
        <v>—</v>
      </c>
      <c r="H16" s="31" t="str">
        <f aca="false">IF(B16=0,"—",ROUND(IFERROR(AVERAGEIF('Raw Data (Preview)'!$D$3:$D$52,A16,'Raw Data (Preview)'!$L$3:$L$52),"—"),2))</f>
        <v>—</v>
      </c>
    </row>
    <row r="17" customFormat="false" ht="13.5" hidden="false" customHeight="true" outlineLevel="0" collapsed="false">
      <c r="A17" s="22" t="n">
        <v>1998</v>
      </c>
      <c r="B17" s="23" t="n">
        <f aca="false">COUNTIF('Raw Data (Preview)'!$D$3:$D$52,A17)</f>
        <v>0</v>
      </c>
      <c r="C17" s="24" t="str">
        <f aca="false">IF(B17=0,"—",ROUND(AVERAGEIF('Raw Data (Preview)'!$D$3:$D$52,A17,'Raw Data (Preview)'!$E$3:$E$52),2))</f>
        <v>—</v>
      </c>
      <c r="D17" s="24" t="str">
        <f aca="false">IF(B17=0,"—",ROUND(AVERAGEIF('Raw Data (Preview)'!$D$3:$D$52,A17,'Raw Data (Preview)'!$F$3:$F$52),2))</f>
        <v>—</v>
      </c>
      <c r="E17" s="25" t="str">
        <f aca="false">IF(B17=0,"—",ROUND(AVERAGEIF('Raw Data (Preview)'!$D$3:$D$52,A17,'Raw Data (Preview)'!$I$3:$I$52),2))</f>
        <v>—</v>
      </c>
      <c r="F17" s="25" t="str">
        <f aca="false">IF(B17=0,"—",ROUND(AVERAGEIF('Raw Data (Preview)'!$D$3:$D$52,A17,'Raw Data (Preview)'!$G$3:$G$52),2))</f>
        <v>—</v>
      </c>
      <c r="G17" s="25" t="str">
        <f aca="false">IF(B17=0,"—",ROUND(AVERAGEIF('Raw Data (Preview)'!$D$3:$D$52,A17,'Raw Data (Preview)'!$H$3:$H$52),2))</f>
        <v>—</v>
      </c>
      <c r="H17" s="26" t="str">
        <f aca="false">IF(B17=0,"—",ROUND(IFERROR(AVERAGEIF('Raw Data (Preview)'!$D$3:$D$52,A17,'Raw Data (Preview)'!$L$3:$L$52),"—"),2))</f>
        <v>—</v>
      </c>
    </row>
    <row r="18" customFormat="false" ht="13.5" hidden="false" customHeight="true" outlineLevel="0" collapsed="false">
      <c r="A18" s="27" t="n">
        <v>1999</v>
      </c>
      <c r="B18" s="28" t="n">
        <f aca="false">COUNTIF('Raw Data (Preview)'!$D$3:$D$52,A18)</f>
        <v>0</v>
      </c>
      <c r="C18" s="29" t="str">
        <f aca="false">IF(B18=0,"—",ROUND(AVERAGEIF('Raw Data (Preview)'!$D$3:$D$52,A18,'Raw Data (Preview)'!$E$3:$E$52),2))</f>
        <v>—</v>
      </c>
      <c r="D18" s="29" t="str">
        <f aca="false">IF(B18=0,"—",ROUND(AVERAGEIF('Raw Data (Preview)'!$D$3:$D$52,A18,'Raw Data (Preview)'!$F$3:$F$52),2))</f>
        <v>—</v>
      </c>
      <c r="E18" s="30" t="str">
        <f aca="false">IF(B18=0,"—",ROUND(AVERAGEIF('Raw Data (Preview)'!$D$3:$D$52,A18,'Raw Data (Preview)'!$I$3:$I$52),2))</f>
        <v>—</v>
      </c>
      <c r="F18" s="30" t="str">
        <f aca="false">IF(B18=0,"—",ROUND(AVERAGEIF('Raw Data (Preview)'!$D$3:$D$52,A18,'Raw Data (Preview)'!$G$3:$G$52),2))</f>
        <v>—</v>
      </c>
      <c r="G18" s="30" t="str">
        <f aca="false">IF(B18=0,"—",ROUND(AVERAGEIF('Raw Data (Preview)'!$D$3:$D$52,A18,'Raw Data (Preview)'!$H$3:$H$52),2))</f>
        <v>—</v>
      </c>
      <c r="H18" s="31" t="str">
        <f aca="false">IF(B18=0,"—",ROUND(IFERROR(AVERAGEIF('Raw Data (Preview)'!$D$3:$D$52,A18,'Raw Data (Preview)'!$L$3:$L$52),"—"),2))</f>
        <v>—</v>
      </c>
    </row>
    <row r="19" customFormat="false" ht="13.5" hidden="false" customHeight="true" outlineLevel="0" collapsed="false">
      <c r="A19" s="22" t="n">
        <v>2000</v>
      </c>
      <c r="B19" s="23" t="n">
        <f aca="false">COUNTIF('Raw Data (Preview)'!$D$3:$D$52,A19)</f>
        <v>0</v>
      </c>
      <c r="C19" s="24" t="str">
        <f aca="false">IF(B19=0,"—",ROUND(AVERAGEIF('Raw Data (Preview)'!$D$3:$D$52,A19,'Raw Data (Preview)'!$E$3:$E$52),2))</f>
        <v>—</v>
      </c>
      <c r="D19" s="24" t="str">
        <f aca="false">IF(B19=0,"—",ROUND(AVERAGEIF('Raw Data (Preview)'!$D$3:$D$52,A19,'Raw Data (Preview)'!$F$3:$F$52),2))</f>
        <v>—</v>
      </c>
      <c r="E19" s="25" t="str">
        <f aca="false">IF(B19=0,"—",ROUND(AVERAGEIF('Raw Data (Preview)'!$D$3:$D$52,A19,'Raw Data (Preview)'!$I$3:$I$52),2))</f>
        <v>—</v>
      </c>
      <c r="F19" s="25" t="str">
        <f aca="false">IF(B19=0,"—",ROUND(AVERAGEIF('Raw Data (Preview)'!$D$3:$D$52,A19,'Raw Data (Preview)'!$G$3:$G$52),2))</f>
        <v>—</v>
      </c>
      <c r="G19" s="25" t="str">
        <f aca="false">IF(B19=0,"—",ROUND(AVERAGEIF('Raw Data (Preview)'!$D$3:$D$52,A19,'Raw Data (Preview)'!$H$3:$H$52),2))</f>
        <v>—</v>
      </c>
      <c r="H19" s="26" t="str">
        <f aca="false">IF(B19=0,"—",ROUND(IFERROR(AVERAGEIF('Raw Data (Preview)'!$D$3:$D$52,A19,'Raw Data (Preview)'!$L$3:$L$52),"—"),2))</f>
        <v>—</v>
      </c>
    </row>
    <row r="20" customFormat="false" ht="13.5" hidden="false" customHeight="true" outlineLevel="0" collapsed="false">
      <c r="A20" s="27" t="n">
        <v>2001</v>
      </c>
      <c r="B20" s="28" t="n">
        <f aca="false">COUNTIF('Raw Data (Preview)'!$D$3:$D$52,A20)</f>
        <v>10</v>
      </c>
      <c r="C20" s="29" t="n">
        <f aca="false">IF(B20=0,"—",ROUND(AVERAGEIF('Raw Data (Preview)'!$D$3:$D$52,A20,'Raw Data (Preview)'!$E$3:$E$52),2))</f>
        <v>578.4</v>
      </c>
      <c r="D20" s="29" t="n">
        <f aca="false">IF(B20=0,"—",ROUND(AVERAGEIF('Raw Data (Preview)'!$D$3:$D$52,A20,'Raw Data (Preview)'!$F$3:$F$52),2))</f>
        <v>2</v>
      </c>
      <c r="E20" s="30" t="n">
        <f aca="false">IF(B20=0,"—",ROUND(AVERAGEIF('Raw Data (Preview)'!$D$3:$D$52,A20,'Raw Data (Preview)'!$I$3:$I$52),2))</f>
        <v>65.39</v>
      </c>
      <c r="F20" s="30" t="n">
        <f aca="false">IF(B20=0,"—",ROUND(AVERAGEIF('Raw Data (Preview)'!$D$3:$D$52,A20,'Raw Data (Preview)'!$G$3:$G$52),2))</f>
        <v>310.56</v>
      </c>
      <c r="G20" s="30" t="n">
        <f aca="false">IF(B20=0,"—",ROUND(AVERAGEIF('Raw Data (Preview)'!$D$3:$D$52,A20,'Raw Data (Preview)'!$H$3:$H$52),2))</f>
        <v>168.86</v>
      </c>
      <c r="H20" s="31" t="n">
        <f aca="false">IF(B20=0,"—",ROUND(IFERROR(AVERAGEIF('Raw Data (Preview)'!$D$3:$D$52,A20,'Raw Data (Preview)'!$L$3:$L$52),"—"),2))</f>
        <v>318.84</v>
      </c>
    </row>
    <row r="21" customFormat="false" ht="13.5" hidden="false" customHeight="true" outlineLevel="0" collapsed="false">
      <c r="A21" s="22" t="n">
        <v>2002</v>
      </c>
      <c r="B21" s="23" t="n">
        <f aca="false">COUNTIF('Raw Data (Preview)'!$D$3:$D$52,A21)</f>
        <v>10</v>
      </c>
      <c r="C21" s="24" t="n">
        <f aca="false">IF(B21=0,"—",ROUND(AVERAGEIF('Raw Data (Preview)'!$D$3:$D$52,A21,'Raw Data (Preview)'!$E$3:$E$52),2))</f>
        <v>656.6</v>
      </c>
      <c r="D21" s="24" t="n">
        <f aca="false">IF(B21=0,"—",ROUND(AVERAGEIF('Raw Data (Preview)'!$D$3:$D$52,A21,'Raw Data (Preview)'!$F$3:$F$52),2))</f>
        <v>1.6</v>
      </c>
      <c r="E21" s="25" t="n">
        <f aca="false">IF(B21=0,"—",ROUND(AVERAGEIF('Raw Data (Preview)'!$D$3:$D$52,A21,'Raw Data (Preview)'!$I$3:$I$52),2))</f>
        <v>66.69</v>
      </c>
      <c r="F21" s="25" t="n">
        <f aca="false">IF(B21=0,"—",ROUND(AVERAGEIF('Raw Data (Preview)'!$D$3:$D$52,A21,'Raw Data (Preview)'!$G$3:$G$52),2))</f>
        <v>379.25</v>
      </c>
      <c r="G21" s="25" t="n">
        <f aca="false">IF(B21=0,"—",ROUND(AVERAGEIF('Raw Data (Preview)'!$D$3:$D$52,A21,'Raw Data (Preview)'!$H$3:$H$52),2))</f>
        <v>205.43</v>
      </c>
      <c r="H21" s="26" t="n">
        <f aca="false">IF(B21=0,"—",ROUND(IFERROR(AVERAGEIF('Raw Data (Preview)'!$D$3:$D$52,A21,'Raw Data (Preview)'!$L$3:$L$52),"—"),2))</f>
        <v>487.35</v>
      </c>
    </row>
    <row r="22" customFormat="false" ht="13.5" hidden="false" customHeight="true" outlineLevel="0" collapsed="false">
      <c r="A22" s="27" t="n">
        <v>2003</v>
      </c>
      <c r="B22" s="28" t="n">
        <f aca="false">COUNTIF('Raw Data (Preview)'!$D$3:$D$52,A22)</f>
        <v>4</v>
      </c>
      <c r="C22" s="29" t="n">
        <f aca="false">IF(B22=0,"—",ROUND(AVERAGEIF('Raw Data (Preview)'!$D$3:$D$52,A22,'Raw Data (Preview)'!$E$3:$E$52),2))</f>
        <v>820.75</v>
      </c>
      <c r="D22" s="29" t="n">
        <f aca="false">IF(B22=0,"—",ROUND(AVERAGEIF('Raw Data (Preview)'!$D$3:$D$52,A22,'Raw Data (Preview)'!$F$3:$F$52),2))</f>
        <v>2.25</v>
      </c>
      <c r="E22" s="30" t="n">
        <f aca="false">IF(B22=0,"—",ROUND(AVERAGEIF('Raw Data (Preview)'!$D$3:$D$52,A22,'Raw Data (Preview)'!$I$3:$I$52),2))</f>
        <v>82.49</v>
      </c>
      <c r="F22" s="30" t="n">
        <f aca="false">IF(B22=0,"—",ROUND(AVERAGEIF('Raw Data (Preview)'!$D$3:$D$52,A22,'Raw Data (Preview)'!$G$3:$G$52),2))</f>
        <v>675.32</v>
      </c>
      <c r="G22" s="30" t="n">
        <f aca="false">IF(B22=0,"—",ROUND(AVERAGEIF('Raw Data (Preview)'!$D$3:$D$52,A22,'Raw Data (Preview)'!$H$3:$H$52),2))</f>
        <v>374.22</v>
      </c>
      <c r="H22" s="31" t="n">
        <f aca="false">IF(B22=0,"—",ROUND(IFERROR(AVERAGEIF('Raw Data (Preview)'!$D$3:$D$52,A22,'Raw Data (Preview)'!$L$3:$L$52),"—"),2))</f>
        <v>693.71</v>
      </c>
    </row>
    <row r="23" customFormat="false" ht="13.5" hidden="false" customHeight="true" outlineLevel="0" collapsed="false">
      <c r="A23" s="22" t="n">
        <v>2004</v>
      </c>
      <c r="B23" s="23" t="n">
        <f aca="false">COUNTIF('Raw Data (Preview)'!$D$3:$D$52,A23)</f>
        <v>5</v>
      </c>
      <c r="C23" s="24" t="n">
        <f aca="false">IF(B23=0,"—",ROUND(AVERAGEIF('Raw Data (Preview)'!$D$3:$D$52,A23,'Raw Data (Preview)'!$E$3:$E$52),2))</f>
        <v>851.6</v>
      </c>
      <c r="D23" s="24" t="n">
        <f aca="false">IF(B23=0,"—",ROUND(AVERAGEIF('Raw Data (Preview)'!$D$3:$D$52,A23,'Raw Data (Preview)'!$F$3:$F$52),2))</f>
        <v>2</v>
      </c>
      <c r="E23" s="25" t="n">
        <f aca="false">IF(B23=0,"—",ROUND(AVERAGEIF('Raw Data (Preview)'!$D$3:$D$52,A23,'Raw Data (Preview)'!$I$3:$I$52),2))</f>
        <v>84.99</v>
      </c>
      <c r="F23" s="25" t="n">
        <f aca="false">IF(B23=0,"—",ROUND(AVERAGEIF('Raw Data (Preview)'!$D$3:$D$52,A23,'Raw Data (Preview)'!$G$3:$G$52),2))</f>
        <v>407.87</v>
      </c>
      <c r="G23" s="25" t="n">
        <f aca="false">IF(B23=0,"—",ROUND(AVERAGEIF('Raw Data (Preview)'!$D$3:$D$52,A23,'Raw Data (Preview)'!$H$3:$H$52),2))</f>
        <v>251.51</v>
      </c>
      <c r="H23" s="26" t="n">
        <f aca="false">IF(B23=0,"—",ROUND(IFERROR(AVERAGEIF('Raw Data (Preview)'!$D$3:$D$52,A23,'Raw Data (Preview)'!$L$3:$L$52),"—"),2))</f>
        <v>396.12</v>
      </c>
    </row>
    <row r="24" customFormat="false" ht="13.5" hidden="false" customHeight="true" outlineLevel="0" collapsed="false">
      <c r="A24" s="27" t="n">
        <v>2005</v>
      </c>
      <c r="B24" s="28" t="n">
        <f aca="false">COUNTIF('Raw Data (Preview)'!$D$3:$D$52,A24)</f>
        <v>3</v>
      </c>
      <c r="C24" s="29" t="n">
        <f aca="false">IF(B24=0,"—",ROUND(AVERAGEIF('Raw Data (Preview)'!$D$3:$D$52,A24,'Raw Data (Preview)'!$E$3:$E$52),2))</f>
        <v>1825.33</v>
      </c>
      <c r="D24" s="29" t="n">
        <f aca="false">IF(B24=0,"—",ROUND(AVERAGEIF('Raw Data (Preview)'!$D$3:$D$52,A24,'Raw Data (Preview)'!$F$3:$F$52),2))</f>
        <v>2.67</v>
      </c>
      <c r="E24" s="30" t="n">
        <f aca="false">IF(B24=0,"—",ROUND(AVERAGEIF('Raw Data (Preview)'!$D$3:$D$52,A24,'Raw Data (Preview)'!$I$3:$I$52),2))</f>
        <v>159.66</v>
      </c>
      <c r="F24" s="30" t="n">
        <f aca="false">IF(B24=0,"—",ROUND(AVERAGEIF('Raw Data (Preview)'!$D$3:$D$52,A24,'Raw Data (Preview)'!$G$3:$G$52),2))</f>
        <v>200.57</v>
      </c>
      <c r="G24" s="30" t="n">
        <f aca="false">IF(B24=0,"—",ROUND(AVERAGEIF('Raw Data (Preview)'!$D$3:$D$52,A24,'Raw Data (Preview)'!$H$3:$H$52),2))</f>
        <v>346.2</v>
      </c>
      <c r="H24" s="31" t="n">
        <f aca="false">IF(B24=0,"—",ROUND(IFERROR(AVERAGEIF('Raw Data (Preview)'!$D$3:$D$52,A24,'Raw Data (Preview)'!$L$3:$L$52),"—"),2))</f>
        <v>161.52</v>
      </c>
    </row>
    <row r="25" customFormat="false" ht="13.5" hidden="false" customHeight="true" outlineLevel="0" collapsed="false">
      <c r="A25" s="22" t="n">
        <v>2006</v>
      </c>
      <c r="B25" s="23" t="n">
        <f aca="false">COUNTIF('Raw Data (Preview)'!$D$3:$D$52,A25)</f>
        <v>6</v>
      </c>
      <c r="C25" s="24" t="n">
        <f aca="false">IF(B25=0,"—",ROUND(AVERAGEIF('Raw Data (Preview)'!$D$3:$D$52,A25,'Raw Data (Preview)'!$E$3:$E$52),2))</f>
        <v>902.67</v>
      </c>
      <c r="D25" s="24" t="n">
        <f aca="false">IF(B25=0,"—",ROUND(AVERAGEIF('Raw Data (Preview)'!$D$3:$D$52,A25,'Raw Data (Preview)'!$F$3:$F$52),2))</f>
        <v>3.17</v>
      </c>
      <c r="E25" s="25" t="n">
        <f aca="false">IF(B25=0,"—",ROUND(AVERAGEIF('Raw Data (Preview)'!$D$3:$D$52,A25,'Raw Data (Preview)'!$I$3:$I$52),2))</f>
        <v>76.32</v>
      </c>
      <c r="F25" s="25" t="n">
        <f aca="false">IF(B25=0,"—",ROUND(AVERAGEIF('Raw Data (Preview)'!$D$3:$D$52,A25,'Raw Data (Preview)'!$G$3:$G$52),2))</f>
        <v>384.14</v>
      </c>
      <c r="G25" s="25" t="n">
        <f aca="false">IF(B25=0,"—",ROUND(AVERAGEIF('Raw Data (Preview)'!$D$3:$D$52,A25,'Raw Data (Preview)'!$H$3:$H$52),2))</f>
        <v>205.01</v>
      </c>
      <c r="H25" s="26" t="n">
        <f aca="false">IF(B25=0,"—",ROUND(IFERROR(AVERAGEIF('Raw Data (Preview)'!$D$3:$D$52,A25,'Raw Data (Preview)'!$L$3:$L$52),"—"),2))</f>
        <v>372.51</v>
      </c>
    </row>
    <row r="26" customFormat="false" ht="13.5" hidden="false" customHeight="true" outlineLevel="0" collapsed="false">
      <c r="A26" s="27" t="n">
        <v>2007</v>
      </c>
      <c r="B26" s="28" t="n">
        <f aca="false">COUNTIF('Raw Data (Preview)'!$D$3:$D$52,A26)</f>
        <v>5</v>
      </c>
      <c r="C26" s="29" t="n">
        <f aca="false">IF(B26=0,"—",ROUND(AVERAGEIF('Raw Data (Preview)'!$D$3:$D$52,A26,'Raw Data (Preview)'!$E$3:$E$52),2))</f>
        <v>2579.2</v>
      </c>
      <c r="D26" s="29" t="n">
        <f aca="false">IF(B26=0,"—",ROUND(AVERAGEIF('Raw Data (Preview)'!$D$3:$D$52,A26,'Raw Data (Preview)'!$F$3:$F$52),2))</f>
        <v>2.4</v>
      </c>
      <c r="E26" s="30" t="n">
        <f aca="false">IF(B26=0,"—",ROUND(AVERAGEIF('Raw Data (Preview)'!$D$3:$D$52,A26,'Raw Data (Preview)'!$I$3:$I$52),2))</f>
        <v>213.99</v>
      </c>
      <c r="F26" s="30" t="n">
        <f aca="false">IF(B26=0,"—",ROUND(AVERAGEIF('Raw Data (Preview)'!$D$3:$D$52,A26,'Raw Data (Preview)'!$G$3:$G$52),2))</f>
        <v>1033.88</v>
      </c>
      <c r="G26" s="30" t="n">
        <f aca="false">IF(B26=0,"—",ROUND(AVERAGEIF('Raw Data (Preview)'!$D$3:$D$52,A26,'Raw Data (Preview)'!$H$3:$H$52),2))</f>
        <v>458.55</v>
      </c>
      <c r="H26" s="31" t="n">
        <f aca="false">IF(B26=0,"—",ROUND(IFERROR(AVERAGEIF('Raw Data (Preview)'!$D$3:$D$52,A26,'Raw Data (Preview)'!$L$3:$L$52),"—"),2))</f>
        <v>570.92</v>
      </c>
    </row>
    <row r="27" customFormat="false" ht="13.5" hidden="false" customHeight="true" outlineLevel="0" collapsed="false">
      <c r="A27" s="22" t="n">
        <v>2008</v>
      </c>
      <c r="B27" s="23" t="n">
        <f aca="false">COUNTIF('Raw Data (Preview)'!$D$3:$D$52,A27)</f>
        <v>6</v>
      </c>
      <c r="C27" s="24" t="n">
        <f aca="false">IF(B27=0,"—",ROUND(AVERAGEIF('Raw Data (Preview)'!$D$3:$D$52,A27,'Raw Data (Preview)'!$E$3:$E$52),2))</f>
        <v>2794.83</v>
      </c>
      <c r="D27" s="24" t="n">
        <f aca="false">IF(B27=0,"—",ROUND(AVERAGEIF('Raw Data (Preview)'!$D$3:$D$52,A27,'Raw Data (Preview)'!$F$3:$F$52),2))</f>
        <v>5.67</v>
      </c>
      <c r="E27" s="25" t="n">
        <f aca="false">IF(B27=0,"—",ROUND(AVERAGEIF('Raw Data (Preview)'!$D$3:$D$52,A27,'Raw Data (Preview)'!$I$3:$I$52),2))</f>
        <v>201.66</v>
      </c>
      <c r="F27" s="25" t="n">
        <f aca="false">IF(B27=0,"—",ROUND(AVERAGEIF('Raw Data (Preview)'!$D$3:$D$52,A27,'Raw Data (Preview)'!$G$3:$G$52),2))</f>
        <v>856.3</v>
      </c>
      <c r="G27" s="25" t="n">
        <f aca="false">IF(B27=0,"—",ROUND(AVERAGEIF('Raw Data (Preview)'!$D$3:$D$52,A27,'Raw Data (Preview)'!$H$3:$H$52),2))</f>
        <v>446.84</v>
      </c>
      <c r="H27" s="26" t="n">
        <f aca="false">IF(B27=0,"—",ROUND(IFERROR(AVERAGEIF('Raw Data (Preview)'!$D$3:$D$52,A27,'Raw Data (Preview)'!$L$3:$L$52),"—"),2))</f>
        <v>339.12</v>
      </c>
    </row>
    <row r="28" customFormat="false" ht="13.5" hidden="false" customHeight="true" outlineLevel="0" collapsed="false">
      <c r="A28" s="27" t="n">
        <v>2009</v>
      </c>
      <c r="B28" s="28" t="n">
        <f aca="false">COUNTIF('Raw Data (Preview)'!$D$3:$D$52,A28)</f>
        <v>0</v>
      </c>
      <c r="C28" s="29" t="str">
        <f aca="false">IF(B28=0,"—",ROUND(AVERAGEIF('Raw Data (Preview)'!$D$3:$D$52,A28,'Raw Data (Preview)'!$E$3:$E$52),2))</f>
        <v>—</v>
      </c>
      <c r="D28" s="29" t="str">
        <f aca="false">IF(B28=0,"—",ROUND(AVERAGEIF('Raw Data (Preview)'!$D$3:$D$52,A28,'Raw Data (Preview)'!$F$3:$F$52),2))</f>
        <v>—</v>
      </c>
      <c r="E28" s="30" t="str">
        <f aca="false">IF(B28=0,"—",ROUND(AVERAGEIF('Raw Data (Preview)'!$D$3:$D$52,A28,'Raw Data (Preview)'!$I$3:$I$52),2))</f>
        <v>—</v>
      </c>
      <c r="F28" s="30" t="str">
        <f aca="false">IF(B28=0,"—",ROUND(AVERAGEIF('Raw Data (Preview)'!$D$3:$D$52,A28,'Raw Data (Preview)'!$G$3:$G$52),2))</f>
        <v>—</v>
      </c>
      <c r="G28" s="30" t="str">
        <f aca="false">IF(B28=0,"—",ROUND(AVERAGEIF('Raw Data (Preview)'!$D$3:$D$52,A28,'Raw Data (Preview)'!$H$3:$H$52),2))</f>
        <v>—</v>
      </c>
      <c r="H28" s="31" t="str">
        <f aca="false">IF(B28=0,"—",ROUND(IFERROR(AVERAGEIF('Raw Data (Preview)'!$D$3:$D$52,A28,'Raw Data (Preview)'!$L$3:$L$52),"—"),2))</f>
        <v>—</v>
      </c>
    </row>
    <row r="29" customFormat="false" ht="13.5" hidden="false" customHeight="true" outlineLevel="0" collapsed="false">
      <c r="A29" s="22" t="n">
        <v>2010</v>
      </c>
      <c r="B29" s="23" t="n">
        <f aca="false">COUNTIF('Raw Data (Preview)'!$D$3:$D$52,A29)</f>
        <v>1</v>
      </c>
      <c r="C29" s="24" t="n">
        <f aca="false">IF(B29=0,"—",ROUND(AVERAGEIF('Raw Data (Preview)'!$D$3:$D$52,A29,'Raw Data (Preview)'!$E$3:$E$52),2))</f>
        <v>990</v>
      </c>
      <c r="D29" s="24" t="n">
        <f aca="false">IF(B29=0,"—",ROUND(AVERAGEIF('Raw Data (Preview)'!$D$3:$D$52,A29,'Raw Data (Preview)'!$F$3:$F$52),2))</f>
        <v>0</v>
      </c>
      <c r="E29" s="25" t="n">
        <f aca="false">IF(B29=0,"—",ROUND(AVERAGEIF('Raw Data (Preview)'!$D$3:$D$52,A29,'Raw Data (Preview)'!$I$3:$I$52),2))</f>
        <v>119.99</v>
      </c>
      <c r="F29" s="25" t="n">
        <f aca="false">IF(B29=0,"—",ROUND(AVERAGEIF('Raw Data (Preview)'!$D$3:$D$52,A29,'Raw Data (Preview)'!$G$3:$G$52),2))</f>
        <v>257.12</v>
      </c>
      <c r="G29" s="25" t="n">
        <f aca="false">IF(B29=0,"—",ROUND(AVERAGEIF('Raw Data (Preview)'!$D$3:$D$52,A29,'Raw Data (Preview)'!$H$3:$H$52),2))</f>
        <v>149.33</v>
      </c>
      <c r="H29" s="26" t="n">
        <f aca="false">IF(B29=0,"—",ROUND(IFERROR(AVERAGEIF('Raw Data (Preview)'!$D$3:$D$52,A29,'Raw Data (Preview)'!$L$3:$L$52),"—"),2))</f>
        <v>114.28</v>
      </c>
    </row>
    <row r="30" customFormat="false" ht="13.5" hidden="false" customHeight="true" outlineLevel="0" collapsed="false">
      <c r="A30" s="27" t="n">
        <v>2011</v>
      </c>
      <c r="B30" s="28" t="n">
        <f aca="false">COUNTIF('Raw Data (Preview)'!$D$3:$D$52,A30)</f>
        <v>0</v>
      </c>
      <c r="C30" s="29" t="str">
        <f aca="false">IF(B30=0,"—",ROUND(AVERAGEIF('Raw Data (Preview)'!$D$3:$D$52,A30,'Raw Data (Preview)'!$E$3:$E$52),2))</f>
        <v>—</v>
      </c>
      <c r="D30" s="29" t="str">
        <f aca="false">IF(B30=0,"—",ROUND(AVERAGEIF('Raw Data (Preview)'!$D$3:$D$52,A30,'Raw Data (Preview)'!$F$3:$F$52),2))</f>
        <v>—</v>
      </c>
      <c r="E30" s="30" t="str">
        <f aca="false">IF(B30=0,"—",ROUND(AVERAGEIF('Raw Data (Preview)'!$D$3:$D$52,A30,'Raw Data (Preview)'!$I$3:$I$52),2))</f>
        <v>—</v>
      </c>
      <c r="F30" s="30" t="str">
        <f aca="false">IF(B30=0,"—",ROUND(AVERAGEIF('Raw Data (Preview)'!$D$3:$D$52,A30,'Raw Data (Preview)'!$G$3:$G$52),2))</f>
        <v>—</v>
      </c>
      <c r="G30" s="30" t="str">
        <f aca="false">IF(B30=0,"—",ROUND(AVERAGEIF('Raw Data (Preview)'!$D$3:$D$52,A30,'Raw Data (Preview)'!$H$3:$H$52),2))</f>
        <v>—</v>
      </c>
      <c r="H30" s="31" t="str">
        <f aca="false">IF(B30=0,"—",ROUND(IFERROR(AVERAGEIF('Raw Data (Preview)'!$D$3:$D$52,A30,'Raw Data (Preview)'!$L$3:$L$52),"—"),2))</f>
        <v>—</v>
      </c>
    </row>
    <row r="31" customFormat="false" ht="13.5" hidden="false" customHeight="true" outlineLevel="0" collapsed="false">
      <c r="A31" s="22" t="n">
        <v>2012</v>
      </c>
      <c r="B31" s="23" t="n">
        <f aca="false">COUNTIF('Raw Data (Preview)'!$D$3:$D$52,A31)</f>
        <v>0</v>
      </c>
      <c r="C31" s="24" t="str">
        <f aca="false">IF(B31=0,"—",ROUND(AVERAGEIF('Raw Data (Preview)'!$D$3:$D$52,A31,'Raw Data (Preview)'!$E$3:$E$52),2))</f>
        <v>—</v>
      </c>
      <c r="D31" s="24" t="str">
        <f aca="false">IF(B31=0,"—",ROUND(AVERAGEIF('Raw Data (Preview)'!$D$3:$D$52,A31,'Raw Data (Preview)'!$F$3:$F$52),2))</f>
        <v>—</v>
      </c>
      <c r="E31" s="25" t="str">
        <f aca="false">IF(B31=0,"—",ROUND(AVERAGEIF('Raw Data (Preview)'!$D$3:$D$52,A31,'Raw Data (Preview)'!$I$3:$I$52),2))</f>
        <v>—</v>
      </c>
      <c r="F31" s="25" t="str">
        <f aca="false">IF(B31=0,"—",ROUND(AVERAGEIF('Raw Data (Preview)'!$D$3:$D$52,A31,'Raw Data (Preview)'!$G$3:$G$52),2))</f>
        <v>—</v>
      </c>
      <c r="G31" s="25" t="str">
        <f aca="false">IF(B31=0,"—",ROUND(AVERAGEIF('Raw Data (Preview)'!$D$3:$D$52,A31,'Raw Data (Preview)'!$H$3:$H$52),2))</f>
        <v>—</v>
      </c>
      <c r="H31" s="26" t="str">
        <f aca="false">IF(B31=0,"—",ROUND(IFERROR(AVERAGEIF('Raw Data (Preview)'!$D$3:$D$52,A31,'Raw Data (Preview)'!$L$3:$L$52),"—"),2))</f>
        <v>—</v>
      </c>
    </row>
    <row r="32" customFormat="false" ht="13.5" hidden="false" customHeight="true" outlineLevel="0" collapsed="false">
      <c r="A32" s="27" t="n">
        <v>2013</v>
      </c>
      <c r="B32" s="28" t="n">
        <f aca="false">COUNTIF('Raw Data (Preview)'!$D$3:$D$52,A32)</f>
        <v>0</v>
      </c>
      <c r="C32" s="29" t="str">
        <f aca="false">IF(B32=0,"—",ROUND(AVERAGEIF('Raw Data (Preview)'!$D$3:$D$52,A32,'Raw Data (Preview)'!$E$3:$E$52),2))</f>
        <v>—</v>
      </c>
      <c r="D32" s="29" t="str">
        <f aca="false">IF(B32=0,"—",ROUND(AVERAGEIF('Raw Data (Preview)'!$D$3:$D$52,A32,'Raw Data (Preview)'!$F$3:$F$52),2))</f>
        <v>—</v>
      </c>
      <c r="E32" s="30" t="str">
        <f aca="false">IF(B32=0,"—",ROUND(AVERAGEIF('Raw Data (Preview)'!$D$3:$D$52,A32,'Raw Data (Preview)'!$I$3:$I$52),2))</f>
        <v>—</v>
      </c>
      <c r="F32" s="30" t="str">
        <f aca="false">IF(B32=0,"—",ROUND(AVERAGEIF('Raw Data (Preview)'!$D$3:$D$52,A32,'Raw Data (Preview)'!$G$3:$G$52),2))</f>
        <v>—</v>
      </c>
      <c r="G32" s="30" t="str">
        <f aca="false">IF(B32=0,"—",ROUND(AVERAGEIF('Raw Data (Preview)'!$D$3:$D$52,A32,'Raw Data (Preview)'!$H$3:$H$52),2))</f>
        <v>—</v>
      </c>
      <c r="H32" s="31" t="str">
        <f aca="false">IF(B32=0,"—",ROUND(IFERROR(AVERAGEIF('Raw Data (Preview)'!$D$3:$D$52,A32,'Raw Data (Preview)'!$L$3:$L$52),"—"),2))</f>
        <v>—</v>
      </c>
    </row>
    <row r="33" customFormat="false" ht="13.5" hidden="false" customHeight="true" outlineLevel="0" collapsed="false">
      <c r="A33" s="22" t="n">
        <v>2014</v>
      </c>
      <c r="B33" s="23" t="n">
        <f aca="false">COUNTIF('Raw Data (Preview)'!$D$3:$D$52,A33)</f>
        <v>0</v>
      </c>
      <c r="C33" s="24" t="str">
        <f aca="false">IF(B33=0,"—",ROUND(AVERAGEIF('Raw Data (Preview)'!$D$3:$D$52,A33,'Raw Data (Preview)'!$E$3:$E$52),2))</f>
        <v>—</v>
      </c>
      <c r="D33" s="24" t="str">
        <f aca="false">IF(B33=0,"—",ROUND(AVERAGEIF('Raw Data (Preview)'!$D$3:$D$52,A33,'Raw Data (Preview)'!$F$3:$F$52),2))</f>
        <v>—</v>
      </c>
      <c r="E33" s="25" t="str">
        <f aca="false">IF(B33=0,"—",ROUND(AVERAGEIF('Raw Data (Preview)'!$D$3:$D$52,A33,'Raw Data (Preview)'!$I$3:$I$52),2))</f>
        <v>—</v>
      </c>
      <c r="F33" s="25" t="str">
        <f aca="false">IF(B33=0,"—",ROUND(AVERAGEIF('Raw Data (Preview)'!$D$3:$D$52,A33,'Raw Data (Preview)'!$G$3:$G$52),2))</f>
        <v>—</v>
      </c>
      <c r="G33" s="25" t="str">
        <f aca="false">IF(B33=0,"—",ROUND(AVERAGEIF('Raw Data (Preview)'!$D$3:$D$52,A33,'Raw Data (Preview)'!$H$3:$H$52),2))</f>
        <v>—</v>
      </c>
      <c r="H33" s="26" t="str">
        <f aca="false">IF(B33=0,"—",ROUND(IFERROR(AVERAGEIF('Raw Data (Preview)'!$D$3:$D$52,A33,'Raw Data (Preview)'!$L$3:$L$52),"—"),2))</f>
        <v>—</v>
      </c>
    </row>
    <row r="35" customFormat="false" ht="14.25" hidden="false" customHeight="true" outlineLevel="0" collapsed="false">
      <c r="A35" s="1" t="s">
        <v>91</v>
      </c>
    </row>
    <row r="36" customFormat="false" ht="14.25" hidden="false" customHeight="true" outlineLevel="0" collapsed="false">
      <c r="A36" s="40" t="s">
        <v>92</v>
      </c>
      <c r="B36" s="40"/>
      <c r="C36" s="40"/>
      <c r="D36" s="40"/>
      <c r="E36" s="40"/>
      <c r="F36" s="40"/>
      <c r="G36" s="40"/>
      <c r="H36" s="40"/>
    </row>
  </sheetData>
  <mergeCells count="2">
    <mergeCell ref="A1:H1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16"/>
  </cols>
  <sheetData>
    <row r="1" customFormat="false" ht="30" hidden="false" customHeight="true" outlineLevel="0" collapsed="false">
      <c r="A1" s="20" t="s">
        <v>93</v>
      </c>
      <c r="B1" s="20"/>
      <c r="C1" s="20"/>
      <c r="D1" s="20"/>
      <c r="E1" s="20"/>
      <c r="F1" s="20"/>
    </row>
    <row r="2" customFormat="false" ht="18" hidden="false" customHeight="true" outlineLevel="0" collapsed="false">
      <c r="A2" s="42" t="s">
        <v>94</v>
      </c>
      <c r="B2" s="42" t="s">
        <v>30</v>
      </c>
      <c r="C2" s="42" t="s">
        <v>31</v>
      </c>
      <c r="D2" s="42" t="s">
        <v>33</v>
      </c>
      <c r="E2" s="42" t="s">
        <v>34</v>
      </c>
      <c r="F2" s="42" t="s">
        <v>36</v>
      </c>
    </row>
    <row r="3" customFormat="false" ht="19.5" hidden="false" customHeight="true" outlineLevel="0" collapsed="false">
      <c r="A3" s="43" t="s">
        <v>95</v>
      </c>
      <c r="B3" s="44" t="n">
        <f aca="false">COUNTIF('Raw Data (Preview)'!$K$3:$K$52,1)</f>
        <v>16</v>
      </c>
      <c r="C3" s="45" t="n">
        <f aca="false">IFERROR(AVERAGEIF('Raw Data (Preview)'!$K$3:$K$52,1,'Raw Data (Preview)'!$E$3:$E$52),"")</f>
        <v>2645.25</v>
      </c>
      <c r="D3" s="46" t="n">
        <f aca="false">IFERROR(AVERAGEIF('Raw Data (Preview)'!$K$3:$K$52,1,'Raw Data (Preview)'!$I$3:$I$52),"")</f>
        <v>212.365</v>
      </c>
      <c r="E3" s="46" t="n">
        <f aca="false">IFERROR(AVERAGEIF('Raw Data (Preview)'!$K$3:$K$52,1,'Raw Data (Preview)'!$G$3:$G$52),"")</f>
        <v>1045.54357142857</v>
      </c>
      <c r="F3" s="47" t="n">
        <f aca="false">IFERROR(AVERAGEIF('Raw Data (Preview)'!$K$3:$K$52,1,'Raw Data (Preview)'!$L$3:$L$52),"")</f>
        <v>499.95160251575</v>
      </c>
    </row>
    <row r="4" customFormat="false" ht="19.5" hidden="false" customHeight="true" outlineLevel="0" collapsed="false">
      <c r="A4" s="48" t="s">
        <v>96</v>
      </c>
      <c r="B4" s="49" t="n">
        <f aca="false">COUNTIF('Raw Data (Preview)'!$K$3:$K$52,2)</f>
        <v>16</v>
      </c>
      <c r="C4" s="50" t="n">
        <f aca="false">IFERROR(AVERAGEIF('Raw Data (Preview)'!$K$3:$K$52,2,'Raw Data (Preview)'!$E$3:$E$52),"")</f>
        <v>906</v>
      </c>
      <c r="D4" s="51" t="n">
        <f aca="false">IFERROR(AVERAGEIF('Raw Data (Preview)'!$K$3:$K$52,2,'Raw Data (Preview)'!$I$3:$I$52),"")</f>
        <v>93.99</v>
      </c>
      <c r="E4" s="51" t="n">
        <f aca="false">IFERROR(AVERAGEIF('Raw Data (Preview)'!$K$3:$K$52,2,'Raw Data (Preview)'!$G$3:$G$52),"")</f>
        <v>393.3225</v>
      </c>
      <c r="F4" s="52" t="n">
        <f aca="false">IFERROR(AVERAGEIF('Raw Data (Preview)'!$K$3:$K$52,2,'Raw Data (Preview)'!$L$3:$L$52),"")</f>
        <v>339.091350885059</v>
      </c>
    </row>
    <row r="5" customFormat="false" ht="19.5" hidden="false" customHeight="true" outlineLevel="0" collapsed="false">
      <c r="A5" s="43" t="s">
        <v>97</v>
      </c>
      <c r="B5" s="44" t="n">
        <f aca="false">COUNTIF('Raw Data (Preview)'!$K$3:$K$52,3)</f>
        <v>6</v>
      </c>
      <c r="C5" s="45" t="n">
        <f aca="false">IFERROR(AVERAGEIF('Raw Data (Preview)'!$K$3:$K$52,3,'Raw Data (Preview)'!$E$3:$E$52),"")</f>
        <v>416.333333333333</v>
      </c>
      <c r="D5" s="46" t="n">
        <f aca="false">IFERROR(AVERAGEIF('Raw Data (Preview)'!$K$3:$K$52,3,'Raw Data (Preview)'!$I$3:$I$52),"")</f>
        <v>39.1566666666667</v>
      </c>
      <c r="E5" s="46" t="n">
        <f aca="false">IFERROR(AVERAGEIF('Raw Data (Preview)'!$K$3:$K$52,3,'Raw Data (Preview)'!$G$3:$G$52),"")</f>
        <v>254.751666666667</v>
      </c>
      <c r="F5" s="47" t="n">
        <f aca="false">IFERROR(AVERAGEIF('Raw Data (Preview)'!$K$3:$K$52,3,'Raw Data (Preview)'!$L$3:$L$52),"")</f>
        <v>553.317979633043</v>
      </c>
    </row>
    <row r="6" customFormat="false" ht="19.5" hidden="false" customHeight="true" outlineLevel="0" collapsed="false">
      <c r="A6" s="48" t="s">
        <v>98</v>
      </c>
      <c r="B6" s="49" t="n">
        <f aca="false">COUNTIF('Raw Data (Preview)'!$K$3:$K$52,4)</f>
        <v>12</v>
      </c>
      <c r="C6" s="50" t="n">
        <f aca="false">IFERROR(AVERAGEIF('Raw Data (Preview)'!$K$3:$K$52,4,'Raw Data (Preview)'!$E$3:$E$52),"")</f>
        <v>176.666666666667</v>
      </c>
      <c r="D6" s="51" t="n">
        <f aca="false">IFERROR(AVERAGEIF('Raw Data (Preview)'!$K$3:$K$52,4,'Raw Data (Preview)'!$I$3:$I$52),"")</f>
        <v>22.99</v>
      </c>
      <c r="E6" s="51" t="n">
        <f aca="false">IFERROR(AVERAGEIF('Raw Data (Preview)'!$K$3:$K$52,4,'Raw Data (Preview)'!$G$3:$G$52),"")</f>
        <v>117.991666666667</v>
      </c>
      <c r="F6" s="52" t="n">
        <f aca="false">IFERROR(AVERAGEIF('Raw Data (Preview)'!$K$3:$K$52,4,'Raw Data (Preview)'!$L$3:$L$52),"")</f>
        <v>338.608952441452</v>
      </c>
    </row>
    <row r="9" customFormat="false" ht="14.25" hidden="false" customHeight="true" outlineLevel="0" collapsed="false">
      <c r="A9" s="38" t="s">
        <v>99</v>
      </c>
      <c r="B9" s="38"/>
      <c r="C9" s="38"/>
      <c r="D9" s="38"/>
      <c r="E9" s="38"/>
      <c r="F9" s="38"/>
    </row>
  </sheetData>
  <mergeCells count="2">
    <mergeCell ref="A1:F1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8" min="7" style="1" width="18"/>
    <col collapsed="false" customWidth="true" hidden="false" outlineLevel="0" max="9" min="9" style="1" width="14"/>
  </cols>
  <sheetData>
    <row r="1" customFormat="false" ht="30" hidden="false" customHeight="true" outlineLevel="0" collapsed="false">
      <c r="A1" s="53" t="s">
        <v>100</v>
      </c>
      <c r="B1" s="53"/>
      <c r="C1" s="53"/>
      <c r="D1" s="53"/>
      <c r="E1" s="53"/>
      <c r="F1" s="53"/>
      <c r="G1" s="53"/>
      <c r="H1" s="53"/>
      <c r="I1" s="53"/>
    </row>
    <row r="2" customFormat="false" ht="18" hidden="false" customHeight="true" outlineLevel="0" collapsed="false">
      <c r="A2" s="54" t="s">
        <v>101</v>
      </c>
      <c r="B2" s="54" t="s">
        <v>102</v>
      </c>
      <c r="C2" s="54" t="s">
        <v>29</v>
      </c>
      <c r="D2" s="54" t="s">
        <v>90</v>
      </c>
      <c r="E2" s="54" t="s">
        <v>103</v>
      </c>
      <c r="F2" s="54" t="s">
        <v>104</v>
      </c>
      <c r="G2" s="54" t="s">
        <v>105</v>
      </c>
      <c r="H2" s="54" t="s">
        <v>106</v>
      </c>
      <c r="I2" s="54" t="s">
        <v>107</v>
      </c>
    </row>
    <row r="3" customFormat="false" ht="18" hidden="false" customHeight="true" outlineLevel="0" collapsed="false">
      <c r="A3" s="55" t="s">
        <v>108</v>
      </c>
      <c r="B3" s="56" t="s">
        <v>109</v>
      </c>
      <c r="C3" s="55" t="s">
        <v>40</v>
      </c>
      <c r="D3" s="55" t="n">
        <v>2008</v>
      </c>
      <c r="E3" s="57" t="n">
        <v>5922</v>
      </c>
      <c r="F3" s="58" t="n">
        <v>299.99</v>
      </c>
      <c r="G3" s="58" t="n">
        <v>2394.19</v>
      </c>
      <c r="H3" s="58" t="n">
        <v>965.53</v>
      </c>
      <c r="I3" s="59" t="n">
        <f aca="false">IFERROR((G3-F3)/F3*100,"")</f>
        <v>698.089936331211</v>
      </c>
    </row>
    <row r="4" customFormat="false" ht="18" hidden="false" customHeight="true" outlineLevel="0" collapsed="false">
      <c r="A4" s="60" t="s">
        <v>110</v>
      </c>
      <c r="B4" s="61" t="s">
        <v>111</v>
      </c>
      <c r="C4" s="60" t="s">
        <v>40</v>
      </c>
      <c r="D4" s="60" t="n">
        <v>2009</v>
      </c>
      <c r="E4" s="62" t="n">
        <v>3263</v>
      </c>
      <c r="F4" s="63" t="n">
        <v>249.99</v>
      </c>
      <c r="G4" s="63" t="n">
        <v>2278</v>
      </c>
      <c r="H4" s="63" t="n">
        <v>1215.07</v>
      </c>
      <c r="I4" s="64" t="n">
        <f aca="false">IFERROR((G4-F4)/F4*100,"")</f>
        <v>811.236449457978</v>
      </c>
    </row>
    <row r="5" customFormat="false" ht="18" hidden="false" customHeight="true" outlineLevel="0" collapsed="false">
      <c r="A5" s="65" t="s">
        <v>112</v>
      </c>
      <c r="B5" s="66" t="s">
        <v>113</v>
      </c>
      <c r="C5" s="65" t="s">
        <v>40</v>
      </c>
      <c r="D5" s="65" t="n">
        <v>2000</v>
      </c>
      <c r="E5" s="67" t="n">
        <v>2882</v>
      </c>
      <c r="F5" s="68" t="n">
        <v>198.99</v>
      </c>
      <c r="G5" s="68" t="n">
        <v>2073.93</v>
      </c>
      <c r="H5" s="68" t="n">
        <v>1054.73</v>
      </c>
      <c r="I5" s="69" t="n">
        <f aca="false">IFERROR((G5-F5)/F5*100,"")</f>
        <v>942.228252676014</v>
      </c>
    </row>
    <row r="6" customFormat="false" ht="18" hidden="false" customHeight="true" outlineLevel="0" collapsed="false">
      <c r="A6" s="70" t="s">
        <v>114</v>
      </c>
      <c r="B6" s="27" t="s">
        <v>115</v>
      </c>
      <c r="C6" s="70" t="s">
        <v>40</v>
      </c>
      <c r="D6" s="70" t="n">
        <v>2007</v>
      </c>
      <c r="E6" s="28" t="n">
        <v>3428</v>
      </c>
      <c r="F6" s="30" t="n">
        <v>199.99</v>
      </c>
      <c r="G6" s="30" t="n">
        <v>1742.93</v>
      </c>
      <c r="H6" s="30" t="n">
        <v>681.27</v>
      </c>
      <c r="I6" s="31" t="n">
        <f aca="false">IFERROR((G6-F6)/F6*100,"")</f>
        <v>771.508575428772</v>
      </c>
    </row>
    <row r="7" customFormat="false" ht="18" hidden="false" customHeight="true" outlineLevel="0" collapsed="false">
      <c r="A7" s="71" t="s">
        <v>116</v>
      </c>
      <c r="B7" s="22" t="s">
        <v>117</v>
      </c>
      <c r="C7" s="71" t="s">
        <v>40</v>
      </c>
      <c r="D7" s="71" t="n">
        <v>2007</v>
      </c>
      <c r="E7" s="23" t="n">
        <v>2056</v>
      </c>
      <c r="F7" s="25" t="n">
        <v>139.99</v>
      </c>
      <c r="G7" s="25" t="n">
        <v>1671.47</v>
      </c>
      <c r="H7" s="25" t="n">
        <v>736.19</v>
      </c>
      <c r="I7" s="26" t="n">
        <f aca="false">IFERROR((G7-F7)/F7*100,"")</f>
        <v>1093.99242803057</v>
      </c>
    </row>
    <row r="8" customFormat="false" ht="18" hidden="false" customHeight="true" outlineLevel="0" collapsed="false">
      <c r="A8" s="70" t="s">
        <v>118</v>
      </c>
      <c r="B8" s="27" t="s">
        <v>119</v>
      </c>
      <c r="C8" s="70" t="s">
        <v>40</v>
      </c>
      <c r="D8" s="70" t="n">
        <v>2007</v>
      </c>
      <c r="E8" s="28" t="n">
        <v>1248</v>
      </c>
      <c r="F8" s="30" t="n">
        <v>89.99</v>
      </c>
      <c r="G8" s="30" t="n">
        <v>1539.47</v>
      </c>
      <c r="H8" s="30" t="n">
        <v>666.13</v>
      </c>
      <c r="I8" s="31" t="n">
        <f aca="false">IFERROR((G8-F8)/F8*100,"")</f>
        <v>1610.71230136682</v>
      </c>
    </row>
    <row r="9" customFormat="false" ht="18" hidden="false" customHeight="true" outlineLevel="0" collapsed="false">
      <c r="A9" s="71" t="s">
        <v>120</v>
      </c>
      <c r="B9" s="22" t="s">
        <v>121</v>
      </c>
      <c r="C9" s="71" t="s">
        <v>53</v>
      </c>
      <c r="D9" s="71" t="n">
        <v>2002</v>
      </c>
      <c r="E9" s="23" t="n">
        <v>3096</v>
      </c>
      <c r="F9" s="25" t="n">
        <v>298.99</v>
      </c>
      <c r="G9" s="25" t="n">
        <v>1527</v>
      </c>
      <c r="H9" s="25" t="n">
        <v>783.38</v>
      </c>
      <c r="I9" s="26" t="n">
        <f aca="false">IFERROR((G9-F9)/F9*100,"")</f>
        <v>410.719422054249</v>
      </c>
    </row>
    <row r="10" customFormat="false" ht="18" hidden="false" customHeight="true" outlineLevel="0" collapsed="false">
      <c r="A10" s="70" t="s">
        <v>122</v>
      </c>
      <c r="B10" s="27" t="s">
        <v>123</v>
      </c>
      <c r="C10" s="70" t="s">
        <v>53</v>
      </c>
      <c r="D10" s="70" t="n">
        <v>2001</v>
      </c>
      <c r="E10" s="28" t="n">
        <v>1747</v>
      </c>
      <c r="F10" s="30" t="n">
        <v>199.99</v>
      </c>
      <c r="G10" s="30" t="n">
        <v>1232.6</v>
      </c>
      <c r="H10" s="30" t="n">
        <v>589.2</v>
      </c>
      <c r="I10" s="31" t="n">
        <f aca="false">IFERROR((G10-F10)/F10*100,"")</f>
        <v>516.330816540827</v>
      </c>
    </row>
    <row r="11" customFormat="false" ht="18" hidden="false" customHeight="true" outlineLevel="0" collapsed="false">
      <c r="A11" s="71" t="s">
        <v>124</v>
      </c>
      <c r="B11" s="22" t="s">
        <v>125</v>
      </c>
      <c r="C11" s="71" t="s">
        <v>53</v>
      </c>
      <c r="D11" s="71" t="n">
        <v>2003</v>
      </c>
      <c r="E11" s="23" t="n">
        <v>1455</v>
      </c>
      <c r="F11" s="25" t="n">
        <v>129.99</v>
      </c>
      <c r="G11" s="25" t="n">
        <v>1084.67</v>
      </c>
      <c r="H11" s="25" t="n">
        <v>593.13</v>
      </c>
      <c r="I11" s="26" t="n">
        <f aca="false">IFERROR((G11-F11)/F11*100,"")</f>
        <v>734.425725055774</v>
      </c>
    </row>
    <row r="12" customFormat="false" ht="18" hidden="false" customHeight="true" outlineLevel="0" collapsed="false">
      <c r="A12" s="70" t="s">
        <v>126</v>
      </c>
      <c r="B12" s="27" t="s">
        <v>127</v>
      </c>
      <c r="C12" s="70" t="s">
        <v>53</v>
      </c>
      <c r="D12" s="70" t="n">
        <v>2003</v>
      </c>
      <c r="E12" s="28" t="n">
        <v>705</v>
      </c>
      <c r="F12" s="30" t="n">
        <v>99.99</v>
      </c>
      <c r="G12" s="30" t="n">
        <v>975.4</v>
      </c>
      <c r="H12" s="30" t="n">
        <v>566.47</v>
      </c>
      <c r="I12" s="31" t="n">
        <f aca="false">IFERROR((G12-F12)/F12*100,"")</f>
        <v>875.497549754976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FA2"/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6"/>
    <col collapsed="false" customWidth="true" hidden="false" outlineLevel="0" max="9" min="2" style="1" width="15"/>
  </cols>
  <sheetData>
    <row r="1" customFormat="false" ht="30" hidden="false" customHeight="true" outlineLevel="0" collapsed="false">
      <c r="A1" s="20" t="s">
        <v>128</v>
      </c>
      <c r="B1" s="20"/>
      <c r="C1" s="20"/>
      <c r="D1" s="20"/>
      <c r="E1" s="20"/>
      <c r="F1" s="20"/>
      <c r="G1" s="20"/>
      <c r="H1" s="20"/>
      <c r="I1" s="20"/>
    </row>
    <row r="3" customFormat="false" ht="18" hidden="false" customHeight="true" outlineLevel="0" collapsed="false">
      <c r="A3" s="40" t="s">
        <v>129</v>
      </c>
      <c r="B3" s="40"/>
      <c r="C3" s="40"/>
      <c r="D3" s="40"/>
      <c r="E3" s="40"/>
      <c r="F3" s="40"/>
      <c r="G3" s="40"/>
      <c r="H3" s="40"/>
      <c r="I3" s="40"/>
    </row>
    <row r="4" customFormat="false" ht="15.75" hidden="false" customHeight="true" outlineLevel="0" collapsed="false">
      <c r="A4" s="72" t="s">
        <v>130</v>
      </c>
      <c r="B4" s="72" t="s">
        <v>131</v>
      </c>
      <c r="C4" s="72" t="s">
        <v>132</v>
      </c>
      <c r="D4" s="72" t="s">
        <v>133</v>
      </c>
      <c r="E4" s="72" t="s">
        <v>134</v>
      </c>
      <c r="F4" s="72" t="s">
        <v>135</v>
      </c>
      <c r="G4" s="72" t="s">
        <v>136</v>
      </c>
      <c r="H4" s="72" t="s">
        <v>137</v>
      </c>
      <c r="I4" s="72" t="s">
        <v>138</v>
      </c>
    </row>
    <row r="5" customFormat="false" ht="15" hidden="false" customHeight="true" outlineLevel="0" collapsed="false">
      <c r="A5" s="73" t="s">
        <v>103</v>
      </c>
      <c r="B5" s="71" t="n">
        <f aca="false">COUNT('Raw Data (Preview)'!$E$3:$E$52)</f>
        <v>50</v>
      </c>
      <c r="C5" s="71" t="n">
        <f aca="false">ROUND(AVERAGE('Raw Data (Preview)'!$E$3:$E$52),2)</f>
        <v>1228.76</v>
      </c>
      <c r="D5" s="71" t="n">
        <f aca="false">ROUND(STDEV('Raw Data (Preview)'!$E$3:$E$52),2)</f>
        <v>1283.82</v>
      </c>
      <c r="E5" s="71" t="n">
        <f aca="false">MIN('Raw Data (Preview)'!$E$3:$E$52)</f>
        <v>3</v>
      </c>
      <c r="F5" s="71" t="n">
        <f aca="false">ROUND(QUARTILE('Raw Data (Preview)'!$E$3:$E$52,1),2)</f>
        <v>376.25</v>
      </c>
      <c r="G5" s="71" t="n">
        <f aca="false">ROUND(MEDIAN('Raw Data (Preview)'!$E$3:$E$52),2)</f>
        <v>887.5</v>
      </c>
      <c r="H5" s="71" t="n">
        <f aca="false">ROUND(QUARTILE('Raw Data (Preview)'!$E$3:$E$52,3),2)</f>
        <v>1587.75</v>
      </c>
      <c r="I5" s="71" t="n">
        <f aca="false">MAX('Raw Data (Preview)'!$E$3:$E$52)</f>
        <v>5922</v>
      </c>
    </row>
    <row r="6" customFormat="false" ht="15" hidden="false" customHeight="true" outlineLevel="0" collapsed="false">
      <c r="A6" s="74" t="s">
        <v>139</v>
      </c>
      <c r="B6" s="70" t="n">
        <f aca="false">COUNT('Raw Data (Preview)'!$F$3:$F$52)</f>
        <v>50</v>
      </c>
      <c r="C6" s="70" t="n">
        <f aca="false">ROUND(AVERAGE('Raw Data (Preview)'!$F$3:$F$52),2)</f>
        <v>2.56</v>
      </c>
      <c r="D6" s="70" t="n">
        <f aca="false">ROUND(STDEV('Raw Data (Preview)'!$F$3:$F$52),2)</f>
        <v>4.27</v>
      </c>
      <c r="E6" s="70" t="n">
        <f aca="false">MIN('Raw Data (Preview)'!$F$3:$F$52)</f>
        <v>0</v>
      </c>
      <c r="F6" s="70" t="n">
        <f aca="false">ROUND(QUARTILE('Raw Data (Preview)'!$F$3:$F$52,1),2)</f>
        <v>0</v>
      </c>
      <c r="G6" s="70" t="n">
        <f aca="false">ROUND(MEDIAN('Raw Data (Preview)'!$F$3:$F$52),2)</f>
        <v>0</v>
      </c>
      <c r="H6" s="70" t="n">
        <f aca="false">ROUND(QUARTILE('Raw Data (Preview)'!$F$3:$F$52,3),2)</f>
        <v>4</v>
      </c>
      <c r="I6" s="70" t="n">
        <f aca="false">MAX('Raw Data (Preview)'!$F$3:$F$52)</f>
        <v>22</v>
      </c>
    </row>
    <row r="7" customFormat="false" ht="15" hidden="false" customHeight="true" outlineLevel="0" collapsed="false">
      <c r="A7" s="73" t="s">
        <v>140</v>
      </c>
      <c r="B7" s="25" t="n">
        <f aca="false">COUNT('Raw Data (Preview)'!$G$3:$G$52)</f>
        <v>48</v>
      </c>
      <c r="C7" s="25" t="n">
        <f aca="false">ROUND(AVERAGE('Raw Data (Preview)'!$G$3:$G$52),2)</f>
        <v>497.4</v>
      </c>
      <c r="D7" s="25" t="n">
        <f aca="false">ROUND(STDEV('Raw Data (Preview)'!$G$3:$G$52),2)</f>
        <v>506.48</v>
      </c>
      <c r="E7" s="25" t="n">
        <f aca="false">MIN('Raw Data (Preview)'!$G$3:$G$52)</f>
        <v>21.09</v>
      </c>
      <c r="F7" s="25" t="n">
        <f aca="false">ROUND(QUARTILE('Raw Data (Preview)'!$G$3:$G$52,1),2)</f>
        <v>200.77</v>
      </c>
      <c r="G7" s="25" t="n">
        <f aca="false">ROUND(MEDIAN('Raw Data (Preview)'!$G$3:$G$52),2)</f>
        <v>308.29</v>
      </c>
      <c r="H7" s="25" t="n">
        <f aca="false">ROUND(QUARTILE('Raw Data (Preview)'!$G$3:$G$52,3),2)</f>
        <v>583.68</v>
      </c>
      <c r="I7" s="25" t="n">
        <f aca="false">MAX('Raw Data (Preview)'!$G$3:$G$52)</f>
        <v>2394.19</v>
      </c>
    </row>
    <row r="8" customFormat="false" ht="15" hidden="false" customHeight="true" outlineLevel="0" collapsed="false">
      <c r="A8" s="74" t="s">
        <v>141</v>
      </c>
      <c r="B8" s="30" t="n">
        <f aca="false">COUNT('Raw Data (Preview)'!$H$3:$H$52)</f>
        <v>49</v>
      </c>
      <c r="C8" s="30" t="n">
        <f aca="false">ROUND(AVERAGE('Raw Data (Preview)'!$H$3:$H$52),2)</f>
        <v>274.09</v>
      </c>
      <c r="D8" s="30" t="n">
        <f aca="false">ROUND(STDEV('Raw Data (Preview)'!$H$3:$H$52),2)</f>
        <v>237.25</v>
      </c>
      <c r="E8" s="30" t="n">
        <f aca="false">MIN('Raw Data (Preview)'!$H$3:$H$52)</f>
        <v>15.8</v>
      </c>
      <c r="F8" s="30" t="n">
        <f aca="false">ROUND(QUARTILE('Raw Data (Preview)'!$H$3:$H$52,1),2)</f>
        <v>108.93</v>
      </c>
      <c r="G8" s="30" t="n">
        <f aca="false">ROUND(MEDIAN('Raw Data (Preview)'!$H$3:$H$52),2)</f>
        <v>185.33</v>
      </c>
      <c r="H8" s="30" t="n">
        <f aca="false">ROUND(QUARTILE('Raw Data (Preview)'!$H$3:$H$52,3),2)</f>
        <v>410.87</v>
      </c>
      <c r="I8" s="30" t="n">
        <f aca="false">MAX('Raw Data (Preview)'!$H$3:$H$52)</f>
        <v>965.53</v>
      </c>
    </row>
    <row r="9" customFormat="false" ht="15" hidden="false" customHeight="true" outlineLevel="0" collapsed="false">
      <c r="A9" s="73" t="s">
        <v>142</v>
      </c>
      <c r="B9" s="25" t="n">
        <f aca="false">COUNT('Raw Data (Preview)'!$I$3:$I$52)</f>
        <v>50</v>
      </c>
      <c r="C9" s="25" t="n">
        <f aca="false">ROUND(AVERAGE('Raw Data (Preview)'!$I$3:$I$52),2)</f>
        <v>108.25</v>
      </c>
      <c r="D9" s="25" t="n">
        <f aca="false">ROUND(STDEV('Raw Data (Preview)'!$I$3:$I$52),2)</f>
        <v>101.37</v>
      </c>
      <c r="E9" s="25" t="n">
        <f aca="false">MIN('Raw Data (Preview)'!$I$3:$I$52)</f>
        <v>7.99</v>
      </c>
      <c r="F9" s="25" t="n">
        <f aca="false">ROUND(QUARTILE('Raw Data (Preview)'!$I$3:$I$52,1),2)</f>
        <v>39.99</v>
      </c>
      <c r="G9" s="25" t="n">
        <f aca="false">ROUND(MEDIAN('Raw Data (Preview)'!$I$3:$I$52),2)</f>
        <v>89.99</v>
      </c>
      <c r="H9" s="25" t="n">
        <f aca="false">ROUND(QUARTILE('Raw Data (Preview)'!$I$3:$I$52,3),2)</f>
        <v>137.49</v>
      </c>
      <c r="I9" s="25" t="n">
        <f aca="false">MAX('Raw Data (Preview)'!$I$3:$I$52)</f>
        <v>499.99</v>
      </c>
    </row>
    <row r="10" customFormat="false" ht="15" hidden="false" customHeight="true" outlineLevel="0" collapsed="false">
      <c r="A10" s="74" t="s">
        <v>143</v>
      </c>
      <c r="B10" s="70" t="n">
        <f aca="false">COUNT('Raw Data (Preview)'!$J$3:$J$52)</f>
        <v>50</v>
      </c>
      <c r="C10" s="70" t="n">
        <f aca="false">ROUND(AVERAGE('Raw Data (Preview)'!$J$3:$J$52),2)</f>
        <v>10.88</v>
      </c>
      <c r="D10" s="70" t="n">
        <f aca="false">ROUND(STDEV('Raw Data (Preview)'!$J$3:$J$52),2)</f>
        <v>2.62</v>
      </c>
      <c r="E10" s="70" t="n">
        <f aca="false">MIN('Raw Data (Preview)'!$J$3:$J$52)</f>
        <v>5</v>
      </c>
      <c r="F10" s="70" t="n">
        <f aca="false">ROUND(QUARTILE('Raw Data (Preview)'!$J$3:$J$52,1),2)</f>
        <v>9</v>
      </c>
      <c r="G10" s="70" t="n">
        <f aca="false">ROUND(MEDIAN('Raw Data (Preview)'!$J$3:$J$52),2)</f>
        <v>11</v>
      </c>
      <c r="H10" s="70" t="n">
        <f aca="false">ROUND(QUARTILE('Raw Data (Preview)'!$J$3:$J$52,3),2)</f>
        <v>13</v>
      </c>
      <c r="I10" s="70" t="n">
        <f aca="false">MAX('Raw Data (Preview)'!$J$3:$J$52)</f>
        <v>14</v>
      </c>
    </row>
    <row r="15" customFormat="false" ht="18" hidden="false" customHeight="true" outlineLevel="0" collapsed="false">
      <c r="A15" s="37" t="s">
        <v>144</v>
      </c>
      <c r="B15" s="37"/>
      <c r="C15" s="37"/>
      <c r="D15" s="37"/>
      <c r="E15" s="37"/>
      <c r="F15" s="37"/>
    </row>
    <row r="16" customFormat="false" ht="15.75" hidden="false" customHeight="true" outlineLevel="0" collapsed="false">
      <c r="A16" s="75" t="s">
        <v>130</v>
      </c>
      <c r="B16" s="76" t="s">
        <v>103</v>
      </c>
      <c r="C16" s="76" t="s">
        <v>145</v>
      </c>
      <c r="D16" s="76" t="s">
        <v>146</v>
      </c>
      <c r="E16" s="76" t="s">
        <v>147</v>
      </c>
      <c r="F16" s="76" t="s">
        <v>148</v>
      </c>
    </row>
    <row r="17" customFormat="false" ht="15" hidden="false" customHeight="true" outlineLevel="0" collapsed="false">
      <c r="A17" s="73" t="s">
        <v>103</v>
      </c>
      <c r="B17" s="77" t="n">
        <v>1</v>
      </c>
      <c r="C17" s="78" t="n">
        <f aca="false">ROUND(CORREL('Raw Data (Preview)'!$E$3:$E$52,'Raw Data (Preview)'!$F$3:$F$52),3)</f>
        <v>0.2</v>
      </c>
      <c r="D17" s="79" t="n">
        <f aca="false">ROUND(CORREL('Raw Data (Preview)'!$E$3:$E$52,'Raw Data (Preview)'!$I$3:$I$52),3)</f>
        <v>0.925</v>
      </c>
      <c r="E17" s="79" t="n">
        <f aca="false">ROUND(CORREL('Raw Data (Preview)'!$E$3:$E$52,'Raw Data (Preview)'!$G$3:$G$52),3)</f>
        <v>0.829</v>
      </c>
      <c r="F17" s="78" t="n">
        <f aca="false">ROUND(CORREL('Raw Data (Preview)'!$E$3:$E$52,'Raw Data (Preview)'!$J$3:$J$52),3)</f>
        <v>-0.526</v>
      </c>
    </row>
    <row r="18" customFormat="false" ht="15" hidden="false" customHeight="true" outlineLevel="0" collapsed="false">
      <c r="A18" s="73" t="s">
        <v>145</v>
      </c>
      <c r="B18" s="78" t="n">
        <f aca="false">ROUND(CORREL('Raw Data (Preview)'!$F$3:$F$52,'Raw Data (Preview)'!$E$3:$E$52),3)</f>
        <v>0.2</v>
      </c>
      <c r="C18" s="77" t="n">
        <v>1</v>
      </c>
      <c r="D18" s="80" t="n">
        <f aca="false">ROUND(CORREL('Raw Data (Preview)'!$F$3:$F$52,'Raw Data (Preview)'!$I$3:$I$52),3)</f>
        <v>0.367</v>
      </c>
      <c r="E18" s="78" t="n">
        <f aca="false">ROUND(CORREL('Raw Data (Preview)'!$F$3:$F$52,'Raw Data (Preview)'!$G$3:$G$52),3)</f>
        <v>-0.042</v>
      </c>
      <c r="F18" s="78" t="n">
        <f aca="false">ROUND(CORREL('Raw Data (Preview)'!$F$3:$F$52,'Raw Data (Preview)'!$J$3:$J$52),3)</f>
        <v>-0.185</v>
      </c>
    </row>
    <row r="19" customFormat="false" ht="15" hidden="false" customHeight="true" outlineLevel="0" collapsed="false">
      <c r="A19" s="73" t="s">
        <v>146</v>
      </c>
      <c r="B19" s="79" t="n">
        <f aca="false">ROUND(CORREL('Raw Data (Preview)'!$I$3:$I$52,'Raw Data (Preview)'!$E$3:$E$52),3)</f>
        <v>0.925</v>
      </c>
      <c r="C19" s="80" t="n">
        <f aca="false">ROUND(CORREL('Raw Data (Preview)'!$I$3:$I$52,'Raw Data (Preview)'!$F$3:$F$52),3)</f>
        <v>0.367</v>
      </c>
      <c r="D19" s="77" t="n">
        <v>1</v>
      </c>
      <c r="E19" s="80" t="n">
        <f aca="false">ROUND(CORREL('Raw Data (Preview)'!$I$3:$I$52,'Raw Data (Preview)'!$G$3:$G$52),3)</f>
        <v>0.703</v>
      </c>
      <c r="F19" s="78" t="n">
        <f aca="false">ROUND(CORREL('Raw Data (Preview)'!$I$3:$I$52,'Raw Data (Preview)'!$J$3:$J$52),3)</f>
        <v>-0.452</v>
      </c>
    </row>
    <row r="20" customFormat="false" ht="15" hidden="false" customHeight="true" outlineLevel="0" collapsed="false">
      <c r="A20" s="73" t="s">
        <v>147</v>
      </c>
      <c r="B20" s="79" t="n">
        <f aca="false">ROUND(CORREL('Raw Data (Preview)'!$G$3:$G$52,'Raw Data (Preview)'!$E$3:$E$52),3)</f>
        <v>0.829</v>
      </c>
      <c r="C20" s="78" t="n">
        <f aca="false">ROUND(CORREL('Raw Data (Preview)'!$G$3:$G$52,'Raw Data (Preview)'!$F$3:$F$52),3)</f>
        <v>-0.042</v>
      </c>
      <c r="D20" s="80" t="n">
        <f aca="false">ROUND(CORREL('Raw Data (Preview)'!$G$3:$G$52,'Raw Data (Preview)'!$I$3:$I$52),3)</f>
        <v>0.703</v>
      </c>
      <c r="E20" s="77" t="n">
        <v>1</v>
      </c>
      <c r="F20" s="78" t="n">
        <f aca="false">ROUND(CORREL('Raw Data (Preview)'!$G$3:$G$52,'Raw Data (Preview)'!$J$3:$J$52),3)</f>
        <v>-0.301</v>
      </c>
    </row>
    <row r="21" customFormat="false" ht="15" hidden="false" customHeight="true" outlineLevel="0" collapsed="false">
      <c r="A21" s="73" t="s">
        <v>148</v>
      </c>
      <c r="B21" s="78" t="n">
        <f aca="false">ROUND(CORREL('Raw Data (Preview)'!$J$3:$J$52,'Raw Data (Preview)'!$E$3:$E$52),3)</f>
        <v>-0.526</v>
      </c>
      <c r="C21" s="78" t="n">
        <f aca="false">ROUND(CORREL('Raw Data (Preview)'!$J$3:$J$52,'Raw Data (Preview)'!$F$3:$F$52),3)</f>
        <v>-0.185</v>
      </c>
      <c r="D21" s="78" t="n">
        <f aca="false">ROUND(CORREL('Raw Data (Preview)'!$J$3:$J$52,'Raw Data (Preview)'!$I$3:$I$52),3)</f>
        <v>-0.452</v>
      </c>
      <c r="E21" s="78" t="n">
        <f aca="false">ROUND(CORREL('Raw Data (Preview)'!$J$3:$J$52,'Raw Data (Preview)'!$G$3:$G$52),3)</f>
        <v>-0.301</v>
      </c>
      <c r="F21" s="77" t="n">
        <v>1</v>
      </c>
    </row>
    <row r="24" customFormat="false" ht="14.25" hidden="false" customHeight="true" outlineLevel="0" collapsed="false">
      <c r="A24" s="40" t="s">
        <v>149</v>
      </c>
      <c r="B24" s="40"/>
      <c r="C24" s="40"/>
      <c r="D24" s="40"/>
      <c r="E24" s="40"/>
    </row>
    <row r="47" customFormat="false" ht="14.25" hidden="false" customHeight="true" outlineLevel="0" collapsed="false">
      <c r="A47" s="81" t="s">
        <v>150</v>
      </c>
      <c r="B47" s="81"/>
      <c r="C47" s="81"/>
      <c r="D47" s="81"/>
      <c r="E47" s="81"/>
    </row>
  </sheetData>
  <mergeCells count="5">
    <mergeCell ref="A1:I1"/>
    <mergeCell ref="A3:I3"/>
    <mergeCell ref="A15:F15"/>
    <mergeCell ref="A24:E24"/>
    <mergeCell ref="A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001F"/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N7" activeCellId="0" sqref="N7"/>
    </sheetView>
  </sheetViews>
  <sheetFormatPr defaultColWidth="9.00390625" defaultRowHeight="14.25" zeroHeight="false" outlineLevelRow="0" outlineLevelCol="0"/>
  <sheetData>
    <row r="1" customFormat="false" ht="30" hidden="false" customHeight="true" outlineLevel="0" collapsed="false">
      <c r="A1" s="20" t="s">
        <v>151</v>
      </c>
      <c r="B1" s="20"/>
      <c r="C1" s="20"/>
      <c r="D1" s="20"/>
      <c r="E1" s="20"/>
      <c r="F1" s="20"/>
      <c r="G1" s="20"/>
      <c r="H1" s="20"/>
    </row>
    <row r="3" customFormat="false" ht="14.25" hidden="false" customHeight="true" outlineLevel="0" collapsed="false">
      <c r="A3" s="37" t="s">
        <v>152</v>
      </c>
      <c r="B3" s="37"/>
      <c r="C3" s="37"/>
      <c r="D3" s="37"/>
      <c r="E3" s="37"/>
      <c r="F3" s="37"/>
      <c r="G3" s="37"/>
      <c r="H3" s="37"/>
    </row>
    <row r="28" customFormat="false" ht="14.25" hidden="false" customHeight="true" outlineLevel="0" collapsed="false">
      <c r="A28" s="40" t="s">
        <v>153</v>
      </c>
      <c r="B28" s="40"/>
      <c r="C28" s="40"/>
      <c r="D28" s="40"/>
      <c r="E28" s="40"/>
      <c r="F28" s="40"/>
      <c r="G28" s="40"/>
      <c r="H28" s="40"/>
    </row>
  </sheetData>
  <mergeCells count="3">
    <mergeCell ref="A1:H1"/>
    <mergeCell ref="A3:H3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6E7A"/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36"/>
    <col collapsed="false" customWidth="true" hidden="false" outlineLevel="0" max="4" min="4" style="1" width="8"/>
    <col collapsed="false" customWidth="true" hidden="false" outlineLevel="0" max="6" min="5" style="1" width="10"/>
    <col collapsed="false" customWidth="true" hidden="false" outlineLevel="0" max="9" min="7" style="1" width="18"/>
    <col collapsed="false" customWidth="true" hidden="false" outlineLevel="0" max="10" min="10" style="1" width="10"/>
    <col collapsed="false" customWidth="true" hidden="false" outlineLevel="0" max="11" min="11" style="1" width="12"/>
  </cols>
  <sheetData>
    <row r="1" customFormat="false" ht="24.75" hidden="false" customHeight="true" outlineLevel="0" collapsed="false">
      <c r="A1" s="82" t="s">
        <v>154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customFormat="false" ht="18" hidden="false" customHeight="true" outlineLevel="0" collapsed="false">
      <c r="A2" s="54" t="s">
        <v>155</v>
      </c>
      <c r="B2" s="54" t="s">
        <v>29</v>
      </c>
      <c r="C2" s="54" t="s">
        <v>102</v>
      </c>
      <c r="D2" s="54" t="s">
        <v>90</v>
      </c>
      <c r="E2" s="54" t="s">
        <v>103</v>
      </c>
      <c r="F2" s="54" t="s">
        <v>145</v>
      </c>
      <c r="G2" s="54" t="s">
        <v>156</v>
      </c>
      <c r="H2" s="54" t="s">
        <v>157</v>
      </c>
      <c r="I2" s="54" t="s">
        <v>158</v>
      </c>
      <c r="J2" s="54" t="s">
        <v>159</v>
      </c>
      <c r="K2" s="54" t="s">
        <v>94</v>
      </c>
      <c r="L2" s="1" t="s">
        <v>107</v>
      </c>
    </row>
    <row r="3" customFormat="false" ht="13.5" hidden="false" customHeight="true" outlineLevel="0" collapsed="false">
      <c r="A3" s="83" t="s">
        <v>160</v>
      </c>
      <c r="B3" s="83" t="s">
        <v>58</v>
      </c>
      <c r="C3" s="83" t="s">
        <v>161</v>
      </c>
      <c r="D3" s="84" t="n">
        <v>2001</v>
      </c>
      <c r="E3" s="85" t="n">
        <v>253</v>
      </c>
      <c r="F3" s="85" t="n">
        <v>4</v>
      </c>
      <c r="G3" s="86" t="n">
        <v>156.07</v>
      </c>
      <c r="H3" s="86" t="n">
        <v>79.2</v>
      </c>
      <c r="I3" s="86" t="n">
        <v>24.99</v>
      </c>
      <c r="J3" s="85" t="n">
        <v>14</v>
      </c>
      <c r="K3" s="84" t="n">
        <v>4</v>
      </c>
      <c r="L3" s="1" t="n">
        <f aca="false">IFERROR(IF(G3="","",(G3-I3)/I3*100),"")</f>
        <v>524.52981192477</v>
      </c>
    </row>
    <row r="4" customFormat="false" ht="13.5" hidden="false" customHeight="true" outlineLevel="0" collapsed="false">
      <c r="A4" s="87" t="s">
        <v>162</v>
      </c>
      <c r="B4" s="87" t="s">
        <v>44</v>
      </c>
      <c r="C4" s="87" t="s">
        <v>163</v>
      </c>
      <c r="D4" s="88" t="n">
        <v>2001</v>
      </c>
      <c r="E4" s="89" t="n">
        <v>782</v>
      </c>
      <c r="F4" s="89" t="n">
        <v>11</v>
      </c>
      <c r="G4" s="90" t="n">
        <v>420.86</v>
      </c>
      <c r="H4" s="90" t="n">
        <v>229.2</v>
      </c>
      <c r="I4" s="90" t="n">
        <v>148.99</v>
      </c>
      <c r="J4" s="89" t="n">
        <v>14</v>
      </c>
      <c r="K4" s="88" t="n">
        <v>2</v>
      </c>
      <c r="L4" s="1" t="n">
        <f aca="false">IFERROR(IF(G4="","",(G4-I4)/I4*100),"")</f>
        <v>182.475333915028</v>
      </c>
    </row>
    <row r="5" customFormat="false" ht="13.5" hidden="false" customHeight="true" outlineLevel="0" collapsed="false">
      <c r="A5" s="83" t="s">
        <v>164</v>
      </c>
      <c r="B5" s="83" t="s">
        <v>44</v>
      </c>
      <c r="C5" s="83" t="s">
        <v>165</v>
      </c>
      <c r="D5" s="84" t="n">
        <v>2001</v>
      </c>
      <c r="E5" s="85" t="n">
        <v>293</v>
      </c>
      <c r="F5" s="85" t="n">
        <v>5</v>
      </c>
      <c r="G5" s="86" t="n">
        <v>208.47</v>
      </c>
      <c r="H5" s="86" t="n">
        <v>125.53</v>
      </c>
      <c r="I5" s="86" t="n">
        <v>37.99</v>
      </c>
      <c r="J5" s="85" t="n">
        <v>14</v>
      </c>
      <c r="K5" s="84" t="n">
        <v>4</v>
      </c>
      <c r="L5" s="1" t="n">
        <f aca="false">IFERROR(IF(G5="","",(G5-I5)/I5*100),"")</f>
        <v>448.749670966044</v>
      </c>
    </row>
    <row r="6" customFormat="false" ht="13.5" hidden="false" customHeight="true" outlineLevel="0" collapsed="false">
      <c r="A6" s="87" t="s">
        <v>166</v>
      </c>
      <c r="B6" s="87" t="s">
        <v>44</v>
      </c>
      <c r="C6" s="87" t="s">
        <v>167</v>
      </c>
      <c r="D6" s="88" t="n">
        <v>2001</v>
      </c>
      <c r="E6" s="89" t="n">
        <v>121</v>
      </c>
      <c r="F6" s="89" t="n">
        <v>0</v>
      </c>
      <c r="G6" s="90" t="n">
        <v>43.73</v>
      </c>
      <c r="H6" s="90" t="n">
        <v>43.07</v>
      </c>
      <c r="I6" s="90" t="n">
        <v>16.99</v>
      </c>
      <c r="J6" s="89" t="n">
        <v>14</v>
      </c>
      <c r="K6" s="88" t="n">
        <v>4</v>
      </c>
      <c r="L6" s="1" t="n">
        <f aca="false">IFERROR(IF(G6="","",(G6-I6)/I6*100),"")</f>
        <v>157.386698057681</v>
      </c>
    </row>
    <row r="7" customFormat="false" ht="13.5" hidden="false" customHeight="true" outlineLevel="0" collapsed="false">
      <c r="A7" s="83" t="s">
        <v>168</v>
      </c>
      <c r="B7" s="83" t="s">
        <v>44</v>
      </c>
      <c r="C7" s="83" t="s">
        <v>169</v>
      </c>
      <c r="D7" s="84" t="n">
        <v>2001</v>
      </c>
      <c r="E7" s="85" t="n">
        <v>170</v>
      </c>
      <c r="F7" s="85" t="n">
        <v>0</v>
      </c>
      <c r="G7" s="86" t="n">
        <v>52.67</v>
      </c>
      <c r="H7" s="86" t="n">
        <v>36.2</v>
      </c>
      <c r="I7" s="86" t="n">
        <v>14.99</v>
      </c>
      <c r="J7" s="85" t="n">
        <v>14</v>
      </c>
      <c r="K7" s="84" t="n">
        <v>4</v>
      </c>
      <c r="L7" s="1" t="n">
        <f aca="false">IFERROR(IF(G7="","",(G7-I7)/I7*100),"")</f>
        <v>251.36757838559</v>
      </c>
    </row>
    <row r="8" customFormat="false" ht="13.5" hidden="false" customHeight="true" outlineLevel="0" collapsed="false">
      <c r="A8" s="87" t="s">
        <v>170</v>
      </c>
      <c r="B8" s="87" t="s">
        <v>44</v>
      </c>
      <c r="C8" s="87" t="s">
        <v>171</v>
      </c>
      <c r="D8" s="88" t="n">
        <v>2001</v>
      </c>
      <c r="E8" s="89" t="n">
        <v>194</v>
      </c>
      <c r="F8" s="89" t="n">
        <v>0</v>
      </c>
      <c r="G8" s="90" t="n">
        <v>56.21</v>
      </c>
      <c r="H8" s="90" t="n">
        <v>47.07</v>
      </c>
      <c r="I8" s="90" t="n">
        <v>19.99</v>
      </c>
      <c r="J8" s="89" t="n">
        <v>14</v>
      </c>
      <c r="K8" s="88" t="n">
        <v>4</v>
      </c>
      <c r="L8" s="1" t="n">
        <f aca="false">IFERROR(IF(G8="","",(G8-I8)/I8*100),"")</f>
        <v>181.190595297649</v>
      </c>
    </row>
    <row r="9" customFormat="false" ht="13.5" hidden="false" customHeight="true" outlineLevel="0" collapsed="false">
      <c r="A9" s="83" t="s">
        <v>172</v>
      </c>
      <c r="B9" s="83" t="s">
        <v>44</v>
      </c>
      <c r="C9" s="83" t="s">
        <v>173</v>
      </c>
      <c r="D9" s="84" t="n">
        <v>2001</v>
      </c>
      <c r="E9" s="85" t="n">
        <v>128</v>
      </c>
      <c r="F9" s="85" t="n">
        <v>0</v>
      </c>
      <c r="G9" s="86" t="n">
        <v>77.86</v>
      </c>
      <c r="H9" s="86" t="n">
        <v>48.73</v>
      </c>
      <c r="I9" s="86" t="n">
        <v>19.99</v>
      </c>
      <c r="J9" s="85" t="n">
        <v>14</v>
      </c>
      <c r="K9" s="84" t="n">
        <v>4</v>
      </c>
      <c r="L9" s="1" t="n">
        <f aca="false">IFERROR(IF(G9="","",(G9-I9)/I9*100),"")</f>
        <v>289.494747373687</v>
      </c>
    </row>
    <row r="10" customFormat="false" ht="13.5" hidden="false" customHeight="true" outlineLevel="0" collapsed="false">
      <c r="A10" s="87" t="s">
        <v>174</v>
      </c>
      <c r="B10" s="87" t="s">
        <v>44</v>
      </c>
      <c r="C10" s="87" t="s">
        <v>175</v>
      </c>
      <c r="D10" s="88" t="n">
        <v>2001</v>
      </c>
      <c r="E10" s="89" t="n">
        <v>228</v>
      </c>
      <c r="F10" s="89" t="n">
        <v>0</v>
      </c>
      <c r="G10" s="90" t="n">
        <v>61.21</v>
      </c>
      <c r="H10" s="90" t="n">
        <v>35.53</v>
      </c>
      <c r="I10" s="90" t="n">
        <v>19.99</v>
      </c>
      <c r="J10" s="89" t="n">
        <v>14</v>
      </c>
      <c r="K10" s="88" t="n">
        <v>4</v>
      </c>
      <c r="L10" s="1" t="n">
        <f aca="false">IFERROR(IF(G10="","",(G10-I10)/I10*100),"")</f>
        <v>206.203101550775</v>
      </c>
    </row>
    <row r="11" customFormat="false" ht="13.5" hidden="false" customHeight="true" outlineLevel="0" collapsed="false">
      <c r="A11" s="83" t="s">
        <v>176</v>
      </c>
      <c r="B11" s="83" t="s">
        <v>53</v>
      </c>
      <c r="C11" s="83" t="s">
        <v>177</v>
      </c>
      <c r="D11" s="84" t="n">
        <v>2001</v>
      </c>
      <c r="E11" s="85" t="n">
        <v>1868</v>
      </c>
      <c r="F11" s="85" t="n">
        <v>0</v>
      </c>
      <c r="G11" s="86" t="n">
        <v>795.93</v>
      </c>
      <c r="H11" s="86" t="n">
        <v>454.87</v>
      </c>
      <c r="I11" s="86" t="n">
        <v>149.99</v>
      </c>
      <c r="J11" s="85" t="n">
        <v>14</v>
      </c>
      <c r="K11" s="84" t="n">
        <v>1</v>
      </c>
      <c r="L11" s="1" t="n">
        <f aca="false">IFERROR(IF(G11="","",(G11-I11)/I11*100),"")</f>
        <v>430.655377025135</v>
      </c>
    </row>
    <row r="12" customFormat="false" ht="13.5" hidden="false" customHeight="true" outlineLevel="0" collapsed="false">
      <c r="A12" s="87" t="s">
        <v>178</v>
      </c>
      <c r="B12" s="87" t="s">
        <v>53</v>
      </c>
      <c r="C12" s="87" t="s">
        <v>123</v>
      </c>
      <c r="D12" s="88" t="n">
        <v>2001</v>
      </c>
      <c r="E12" s="89" t="n">
        <v>1747</v>
      </c>
      <c r="F12" s="89" t="n">
        <v>0</v>
      </c>
      <c r="G12" s="90" t="n">
        <v>1232.6</v>
      </c>
      <c r="H12" s="90" t="n">
        <v>589.2</v>
      </c>
      <c r="I12" s="90" t="n">
        <v>199.99</v>
      </c>
      <c r="J12" s="89" t="n">
        <v>14</v>
      </c>
      <c r="K12" s="88" t="n">
        <v>1</v>
      </c>
      <c r="L12" s="1" t="n">
        <f aca="false">IFERROR(IF(G12="","",(G12-I12)/I12*100),"")</f>
        <v>516.330816540827</v>
      </c>
    </row>
    <row r="13" customFormat="false" ht="13.5" hidden="false" customHeight="true" outlineLevel="0" collapsed="false">
      <c r="A13" s="83" t="s">
        <v>179</v>
      </c>
      <c r="B13" s="83" t="s">
        <v>44</v>
      </c>
      <c r="C13" s="83" t="s">
        <v>180</v>
      </c>
      <c r="D13" s="84" t="n">
        <v>2002</v>
      </c>
      <c r="E13" s="85" t="n">
        <v>435</v>
      </c>
      <c r="F13" s="85" t="n">
        <v>2</v>
      </c>
      <c r="G13" s="86" t="n">
        <v>265.6</v>
      </c>
      <c r="H13" s="86" t="n">
        <v>203.53</v>
      </c>
      <c r="I13" s="86" t="n">
        <v>39.99</v>
      </c>
      <c r="J13" s="85" t="n">
        <v>13</v>
      </c>
      <c r="K13" s="84" t="n">
        <v>3</v>
      </c>
      <c r="L13" s="1" t="n">
        <f aca="false">IFERROR(IF(G13="","",(G13-I13)/I13*100),"")</f>
        <v>564.166041510378</v>
      </c>
    </row>
    <row r="14" customFormat="false" ht="13.5" hidden="false" customHeight="true" outlineLevel="0" collapsed="false">
      <c r="A14" s="87" t="s">
        <v>181</v>
      </c>
      <c r="B14" s="87" t="s">
        <v>44</v>
      </c>
      <c r="C14" s="87" t="s">
        <v>182</v>
      </c>
      <c r="D14" s="88" t="n">
        <v>2002</v>
      </c>
      <c r="E14" s="89" t="n">
        <v>411</v>
      </c>
      <c r="F14" s="89" t="n">
        <v>0</v>
      </c>
      <c r="G14" s="90" t="n">
        <v>273.35</v>
      </c>
      <c r="H14" s="90" t="n">
        <v>192.69</v>
      </c>
      <c r="I14" s="90" t="n">
        <v>34.99</v>
      </c>
      <c r="J14" s="89" t="n">
        <v>13</v>
      </c>
      <c r="K14" s="88" t="n">
        <v>3</v>
      </c>
      <c r="L14" s="1" t="n">
        <f aca="false">IFERROR(IF(G14="","",(G14-I14)/I14*100),"")</f>
        <v>681.223206630466</v>
      </c>
    </row>
    <row r="15" customFormat="false" ht="13.5" hidden="false" customHeight="true" outlineLevel="0" collapsed="false">
      <c r="A15" s="83" t="s">
        <v>183</v>
      </c>
      <c r="B15" s="83" t="s">
        <v>74</v>
      </c>
      <c r="C15" s="83" t="s">
        <v>184</v>
      </c>
      <c r="D15" s="84" t="n">
        <v>2002</v>
      </c>
      <c r="E15" s="85" t="n">
        <v>112</v>
      </c>
      <c r="F15" s="85" t="n">
        <v>0</v>
      </c>
      <c r="G15" s="86" t="n">
        <v>32.88</v>
      </c>
      <c r="H15" s="86" t="n">
        <v>15.8</v>
      </c>
      <c r="I15" s="86" t="n">
        <v>12.99</v>
      </c>
      <c r="J15" s="85" t="n">
        <v>13</v>
      </c>
      <c r="K15" s="84" t="n">
        <v>4</v>
      </c>
      <c r="L15" s="1" t="n">
        <f aca="false">IFERROR(IF(G15="","",(G15-I15)/I15*100),"")</f>
        <v>153.117782909931</v>
      </c>
    </row>
    <row r="16" customFormat="false" ht="13.5" hidden="false" customHeight="true" outlineLevel="0" collapsed="false">
      <c r="A16" s="87" t="s">
        <v>185</v>
      </c>
      <c r="B16" s="87" t="s">
        <v>40</v>
      </c>
      <c r="C16" s="87" t="s">
        <v>186</v>
      </c>
      <c r="D16" s="88" t="n">
        <v>2002</v>
      </c>
      <c r="E16" s="89" t="n">
        <v>664</v>
      </c>
      <c r="F16" s="89" t="n">
        <v>0</v>
      </c>
      <c r="G16" s="90" t="n">
        <v>374</v>
      </c>
      <c r="H16" s="90" t="n">
        <v>190.4</v>
      </c>
      <c r="I16" s="90" t="n">
        <v>49.99</v>
      </c>
      <c r="J16" s="89" t="n">
        <v>13</v>
      </c>
      <c r="K16" s="88" t="n">
        <v>2</v>
      </c>
      <c r="L16" s="1" t="n">
        <f aca="false">IFERROR(IF(G16="","",(G16-I16)/I16*100),"")</f>
        <v>648.149629925985</v>
      </c>
    </row>
    <row r="17" customFormat="false" ht="13.5" hidden="false" customHeight="true" outlineLevel="0" collapsed="false">
      <c r="A17" s="83" t="s">
        <v>187</v>
      </c>
      <c r="B17" s="83" t="s">
        <v>44</v>
      </c>
      <c r="C17" s="83" t="s">
        <v>188</v>
      </c>
      <c r="D17" s="84" t="n">
        <v>2002</v>
      </c>
      <c r="E17" s="85" t="n">
        <v>326</v>
      </c>
      <c r="F17" s="85" t="n">
        <v>0</v>
      </c>
      <c r="G17" s="86" t="n">
        <v>204.4</v>
      </c>
      <c r="H17" s="86" t="n">
        <v>182.53</v>
      </c>
      <c r="I17" s="86" t="n">
        <v>34.99</v>
      </c>
      <c r="J17" s="85" t="n">
        <v>13</v>
      </c>
      <c r="K17" s="84" t="n">
        <v>4</v>
      </c>
      <c r="L17" s="1" t="n">
        <f aca="false">IFERROR(IF(G17="","",(G17-I17)/I17*100),"")</f>
        <v>484.166904829951</v>
      </c>
    </row>
    <row r="18" customFormat="false" ht="13.5" hidden="false" customHeight="true" outlineLevel="0" collapsed="false">
      <c r="A18" s="87" t="s">
        <v>189</v>
      </c>
      <c r="B18" s="87" t="s">
        <v>53</v>
      </c>
      <c r="C18" s="87" t="s">
        <v>190</v>
      </c>
      <c r="D18" s="88" t="n">
        <v>2002</v>
      </c>
      <c r="E18" s="89" t="n">
        <v>187</v>
      </c>
      <c r="F18" s="89" t="n">
        <v>0</v>
      </c>
      <c r="G18" s="90" t="n">
        <v>401.67</v>
      </c>
      <c r="H18" s="90" t="n">
        <v>159.31</v>
      </c>
      <c r="I18" s="90" t="n">
        <v>39.99</v>
      </c>
      <c r="J18" s="89" t="n">
        <v>13</v>
      </c>
      <c r="K18" s="88" t="n">
        <v>4</v>
      </c>
      <c r="L18" s="1" t="n">
        <f aca="false">IFERROR(IF(G18="","",(G18-I18)/I18*100),"")</f>
        <v>904.426106526632</v>
      </c>
    </row>
    <row r="19" customFormat="false" ht="13.5" hidden="false" customHeight="true" outlineLevel="0" collapsed="false">
      <c r="A19" s="83" t="s">
        <v>191</v>
      </c>
      <c r="B19" s="83" t="s">
        <v>43</v>
      </c>
      <c r="C19" s="83" t="s">
        <v>192</v>
      </c>
      <c r="D19" s="84" t="n">
        <v>2003</v>
      </c>
      <c r="E19" s="85" t="n">
        <v>453</v>
      </c>
      <c r="F19" s="85" t="n">
        <v>2</v>
      </c>
      <c r="G19" s="86" t="n">
        <v>355.13</v>
      </c>
      <c r="H19" s="86" t="n">
        <v>168.6</v>
      </c>
      <c r="I19" s="86" t="n">
        <v>39.99</v>
      </c>
      <c r="J19" s="85" t="n">
        <v>12</v>
      </c>
      <c r="K19" s="84" t="n">
        <v>3</v>
      </c>
      <c r="L19" s="1" t="n">
        <f aca="false">IFERROR(IF(G19="","",(G19-I19)/I19*100),"")</f>
        <v>788.047011752938</v>
      </c>
    </row>
    <row r="20" customFormat="false" ht="13.5" hidden="false" customHeight="true" outlineLevel="0" collapsed="false">
      <c r="A20" s="87" t="s">
        <v>193</v>
      </c>
      <c r="B20" s="87" t="s">
        <v>53</v>
      </c>
      <c r="C20" s="87" t="s">
        <v>121</v>
      </c>
      <c r="D20" s="88" t="n">
        <v>2002</v>
      </c>
      <c r="E20" s="89" t="n">
        <v>3096</v>
      </c>
      <c r="F20" s="89" t="n">
        <v>0</v>
      </c>
      <c r="G20" s="90" t="n">
        <v>1527</v>
      </c>
      <c r="H20" s="90" t="n">
        <v>783.38</v>
      </c>
      <c r="I20" s="90" t="n">
        <v>298.99</v>
      </c>
      <c r="J20" s="89" t="n">
        <v>13</v>
      </c>
      <c r="K20" s="88" t="n">
        <v>1</v>
      </c>
      <c r="L20" s="1" t="n">
        <f aca="false">IFERROR(IF(G20="","",(G20-I20)/I20*100),"")</f>
        <v>410.719422054249</v>
      </c>
    </row>
    <row r="21" customFormat="false" ht="13.5" hidden="false" customHeight="true" outlineLevel="0" collapsed="false">
      <c r="A21" s="83" t="s">
        <v>194</v>
      </c>
      <c r="B21" s="83" t="s">
        <v>58</v>
      </c>
      <c r="C21" s="83" t="s">
        <v>195</v>
      </c>
      <c r="D21" s="84" t="n">
        <v>2002</v>
      </c>
      <c r="E21" s="85" t="n">
        <v>426</v>
      </c>
      <c r="F21" s="85" t="n">
        <v>6</v>
      </c>
      <c r="G21" s="86" t="n">
        <v>177.4</v>
      </c>
      <c r="H21" s="86" t="n">
        <v>101.53</v>
      </c>
      <c r="I21" s="86" t="n">
        <v>39.99</v>
      </c>
      <c r="J21" s="85" t="n">
        <v>13</v>
      </c>
      <c r="K21" s="84" t="n">
        <v>3</v>
      </c>
      <c r="L21" s="1" t="n">
        <f aca="false">IFERROR(IF(G21="","",(G21-I21)/I21*100),"")</f>
        <v>343.610902725681</v>
      </c>
    </row>
    <row r="22" customFormat="false" ht="13.5" hidden="false" customHeight="true" outlineLevel="0" collapsed="false">
      <c r="A22" s="87" t="s">
        <v>196</v>
      </c>
      <c r="B22" s="87" t="s">
        <v>47</v>
      </c>
      <c r="C22" s="87" t="s">
        <v>197</v>
      </c>
      <c r="D22" s="88" t="n">
        <v>2002</v>
      </c>
      <c r="E22" s="89" t="n">
        <v>906</v>
      </c>
      <c r="F22" s="89" t="n">
        <v>8</v>
      </c>
      <c r="G22" s="90" t="n">
        <v>436.6</v>
      </c>
      <c r="H22" s="90" t="n">
        <v>177.6</v>
      </c>
      <c r="I22" s="90" t="n">
        <v>89.99</v>
      </c>
      <c r="J22" s="89" t="n">
        <v>13</v>
      </c>
      <c r="K22" s="88" t="n">
        <v>2</v>
      </c>
      <c r="L22" s="1" t="n">
        <f aca="false">IFERROR(IF(G22="","",(G22-I22)/I22*100),"")</f>
        <v>385.165018335371</v>
      </c>
    </row>
    <row r="23" customFormat="false" ht="13.5" hidden="false" customHeight="true" outlineLevel="0" collapsed="false">
      <c r="A23" s="83" t="s">
        <v>198</v>
      </c>
      <c r="B23" s="83" t="s">
        <v>78</v>
      </c>
      <c r="C23" s="83" t="s">
        <v>199</v>
      </c>
      <c r="D23" s="84" t="n">
        <v>2006</v>
      </c>
      <c r="E23" s="85" t="n">
        <v>105</v>
      </c>
      <c r="F23" s="85" t="n">
        <v>0</v>
      </c>
      <c r="G23" s="86" t="n">
        <v>21.09</v>
      </c>
      <c r="H23" s="86" t="n">
        <v>16.5</v>
      </c>
      <c r="I23" s="86" t="n">
        <v>7.99</v>
      </c>
      <c r="J23" s="85" t="n">
        <v>9</v>
      </c>
      <c r="K23" s="84" t="n">
        <v>4</v>
      </c>
      <c r="L23" s="1" t="n">
        <f aca="false">IFERROR(IF(G23="","",(G23-I23)/I23*100),"")</f>
        <v>163.9549436796</v>
      </c>
    </row>
    <row r="24" customFormat="false" ht="13.5" hidden="false" customHeight="true" outlineLevel="0" collapsed="false">
      <c r="A24" s="87" t="s">
        <v>200</v>
      </c>
      <c r="B24" s="87" t="s">
        <v>53</v>
      </c>
      <c r="C24" s="87" t="s">
        <v>127</v>
      </c>
      <c r="D24" s="88" t="n">
        <v>2003</v>
      </c>
      <c r="E24" s="89" t="n">
        <v>705</v>
      </c>
      <c r="F24" s="89" t="n">
        <v>7</v>
      </c>
      <c r="G24" s="90" t="n">
        <v>975.4</v>
      </c>
      <c r="H24" s="90" t="n">
        <v>566.47</v>
      </c>
      <c r="I24" s="90" t="n">
        <v>99.99</v>
      </c>
      <c r="J24" s="89" t="n">
        <v>12</v>
      </c>
      <c r="K24" s="88" t="n">
        <v>2</v>
      </c>
      <c r="L24" s="1" t="n">
        <f aca="false">IFERROR(IF(G24="","",(G24-I24)/I24*100),"")</f>
        <v>875.497549754976</v>
      </c>
    </row>
    <row r="25" customFormat="false" ht="13.5" hidden="false" customHeight="true" outlineLevel="0" collapsed="false">
      <c r="A25" s="83" t="s">
        <v>201</v>
      </c>
      <c r="B25" s="83" t="s">
        <v>40</v>
      </c>
      <c r="C25" s="83" t="s">
        <v>202</v>
      </c>
      <c r="D25" s="84" t="n">
        <v>2003</v>
      </c>
      <c r="E25" s="85" t="n">
        <v>670</v>
      </c>
      <c r="F25" s="85" t="n">
        <v>0</v>
      </c>
      <c r="G25" s="86" t="n">
        <v>286.07</v>
      </c>
      <c r="H25" s="86" t="n">
        <v>168.67</v>
      </c>
      <c r="I25" s="86" t="n">
        <v>59.99</v>
      </c>
      <c r="J25" s="85" t="n">
        <v>12</v>
      </c>
      <c r="K25" s="84" t="n">
        <v>2</v>
      </c>
      <c r="L25" s="1" t="n">
        <f aca="false">IFERROR(IF(G25="","",(G25-I25)/I25*100),"")</f>
        <v>376.862810468411</v>
      </c>
    </row>
    <row r="26" customFormat="false" ht="13.5" hidden="false" customHeight="true" outlineLevel="0" collapsed="false">
      <c r="A26" s="87" t="s">
        <v>203</v>
      </c>
      <c r="B26" s="87" t="s">
        <v>53</v>
      </c>
      <c r="C26" s="87" t="s">
        <v>125</v>
      </c>
      <c r="D26" s="88" t="n">
        <v>2003</v>
      </c>
      <c r="E26" s="89" t="n">
        <v>1455</v>
      </c>
      <c r="F26" s="89" t="n">
        <v>0</v>
      </c>
      <c r="G26" s="90" t="n">
        <v>1084.67</v>
      </c>
      <c r="H26" s="90" t="n">
        <v>593.13</v>
      </c>
      <c r="I26" s="90" t="n">
        <v>129.99</v>
      </c>
      <c r="J26" s="89" t="n">
        <v>12</v>
      </c>
      <c r="K26" s="88" t="n">
        <v>1</v>
      </c>
      <c r="L26" s="1" t="n">
        <f aca="false">IFERROR(IF(G26="","",(G26-I26)/I26*100),"")</f>
        <v>734.425725055774</v>
      </c>
    </row>
    <row r="27" customFormat="false" ht="13.5" hidden="false" customHeight="true" outlineLevel="0" collapsed="false">
      <c r="A27" s="83" t="s">
        <v>204</v>
      </c>
      <c r="B27" s="83" t="s">
        <v>53</v>
      </c>
      <c r="C27" s="83" t="s">
        <v>205</v>
      </c>
      <c r="D27" s="84" t="n">
        <v>2004</v>
      </c>
      <c r="E27" s="85" t="n">
        <v>682</v>
      </c>
      <c r="F27" s="85" t="n">
        <v>3</v>
      </c>
      <c r="G27" s="86" t="n">
        <v>219.13</v>
      </c>
      <c r="H27" s="86" t="n">
        <v>120.07</v>
      </c>
      <c r="I27" s="86" t="n">
        <v>69.99</v>
      </c>
      <c r="J27" s="85" t="n">
        <v>11</v>
      </c>
      <c r="K27" s="84" t="n">
        <v>2</v>
      </c>
      <c r="L27" s="1" t="n">
        <f aca="false">IFERROR(IF(G27="","",(G27-I27)/I27*100),"")</f>
        <v>213.087583940563</v>
      </c>
    </row>
    <row r="28" customFormat="false" ht="13.5" hidden="false" customHeight="true" outlineLevel="0" collapsed="false">
      <c r="A28" s="87" t="s">
        <v>206</v>
      </c>
      <c r="B28" s="87" t="s">
        <v>48</v>
      </c>
      <c r="C28" s="87" t="s">
        <v>207</v>
      </c>
      <c r="D28" s="88" t="n">
        <v>2004</v>
      </c>
      <c r="E28" s="89" t="n">
        <v>708</v>
      </c>
      <c r="F28" s="89" t="n">
        <v>4</v>
      </c>
      <c r="G28" s="90" t="n">
        <v>434.53</v>
      </c>
      <c r="H28" s="90" t="n">
        <v>335.47</v>
      </c>
      <c r="I28" s="90" t="n">
        <v>119.99</v>
      </c>
      <c r="J28" s="89" t="n">
        <v>11</v>
      </c>
      <c r="K28" s="88" t="n">
        <v>2</v>
      </c>
      <c r="L28" s="1" t="n">
        <f aca="false">IFERROR(IF(G28="","",(G28-I28)/I28*100),"")</f>
        <v>262.138511542629</v>
      </c>
    </row>
    <row r="29" customFormat="false" ht="13.5" hidden="false" customHeight="true" outlineLevel="0" collapsed="false">
      <c r="A29" s="83" t="s">
        <v>208</v>
      </c>
      <c r="B29" s="83" t="s">
        <v>44</v>
      </c>
      <c r="C29" s="83" t="s">
        <v>209</v>
      </c>
      <c r="D29" s="84" t="n">
        <v>2004</v>
      </c>
      <c r="E29" s="85" t="n">
        <v>407</v>
      </c>
      <c r="F29" s="85" t="n">
        <v>2</v>
      </c>
      <c r="G29" s="86" t="n">
        <v>324.63</v>
      </c>
      <c r="H29" s="86" t="n">
        <v>192.27</v>
      </c>
      <c r="I29" s="86" t="n">
        <v>39.99</v>
      </c>
      <c r="J29" s="85" t="n">
        <v>11</v>
      </c>
      <c r="K29" s="84" t="n">
        <v>3</v>
      </c>
      <c r="L29" s="1" t="n">
        <f aca="false">IFERROR(IF(G29="","",(G29-I29)/I29*100),"")</f>
        <v>711.777944486121</v>
      </c>
    </row>
    <row r="30" customFormat="false" ht="13.5" hidden="false" customHeight="true" outlineLevel="0" collapsed="false">
      <c r="A30" s="87" t="s">
        <v>210</v>
      </c>
      <c r="B30" s="87" t="s">
        <v>53</v>
      </c>
      <c r="C30" s="87" t="s">
        <v>211</v>
      </c>
      <c r="D30" s="88" t="n">
        <v>2004</v>
      </c>
      <c r="E30" s="89" t="n">
        <v>1473</v>
      </c>
      <c r="F30" s="89" t="n">
        <v>1</v>
      </c>
      <c r="G30" s="90" t="n">
        <v>842.53</v>
      </c>
      <c r="H30" s="90" t="n">
        <v>465.53</v>
      </c>
      <c r="I30" s="90" t="n">
        <v>119.99</v>
      </c>
      <c r="J30" s="89" t="n">
        <v>11</v>
      </c>
      <c r="K30" s="88" t="n">
        <v>1</v>
      </c>
      <c r="L30" s="1" t="n">
        <f aca="false">IFERROR(IF(G30="","",(G30-I30)/I30*100),"")</f>
        <v>602.16684723727</v>
      </c>
    </row>
    <row r="31" customFormat="false" ht="13.5" hidden="false" customHeight="true" outlineLevel="0" collapsed="false">
      <c r="A31" s="83" t="s">
        <v>212</v>
      </c>
      <c r="B31" s="83" t="s">
        <v>53</v>
      </c>
      <c r="C31" s="83" t="s">
        <v>213</v>
      </c>
      <c r="D31" s="84" t="n">
        <v>2005</v>
      </c>
      <c r="E31" s="85" t="n">
        <v>3441</v>
      </c>
      <c r="F31" s="85" t="n">
        <v>0</v>
      </c>
      <c r="G31" s="86"/>
      <c r="H31" s="86" t="n">
        <v>767</v>
      </c>
      <c r="I31" s="86" t="n">
        <v>298.99</v>
      </c>
      <c r="J31" s="85" t="n">
        <v>10</v>
      </c>
      <c r="K31" s="84" t="n">
        <v>1</v>
      </c>
      <c r="L31" s="1" t="str">
        <f aca="false">IFERROR(IF(G31="","",(G31-I31)/I31*100),"")</f>
        <v/>
      </c>
    </row>
    <row r="32" customFormat="false" ht="13.5" hidden="false" customHeight="true" outlineLevel="0" collapsed="false">
      <c r="A32" s="87" t="s">
        <v>214</v>
      </c>
      <c r="B32" s="87" t="s">
        <v>53</v>
      </c>
      <c r="C32" s="87" t="s">
        <v>215</v>
      </c>
      <c r="D32" s="88" t="n">
        <v>2005</v>
      </c>
      <c r="E32" s="89" t="n">
        <v>1669</v>
      </c>
      <c r="F32" s="89" t="n">
        <v>8</v>
      </c>
      <c r="G32" s="90" t="n">
        <v>268.73</v>
      </c>
      <c r="H32" s="90" t="n">
        <v>177.13</v>
      </c>
      <c r="I32" s="90" t="n">
        <v>139.99</v>
      </c>
      <c r="J32" s="89" t="n">
        <v>10</v>
      </c>
      <c r="K32" s="88" t="n">
        <v>1</v>
      </c>
      <c r="L32" s="1" t="n">
        <f aca="false">IFERROR(IF(G32="","",(G32-I32)/I32*100),"")</f>
        <v>91.9637116936924</v>
      </c>
    </row>
    <row r="33" customFormat="false" ht="13.5" hidden="false" customHeight="true" outlineLevel="0" collapsed="false">
      <c r="A33" s="83" t="s">
        <v>216</v>
      </c>
      <c r="B33" s="83" t="s">
        <v>40</v>
      </c>
      <c r="C33" s="83" t="s">
        <v>217</v>
      </c>
      <c r="D33" s="84" t="n">
        <v>2004</v>
      </c>
      <c r="E33" s="85" t="n">
        <v>988</v>
      </c>
      <c r="F33" s="85" t="n">
        <v>0</v>
      </c>
      <c r="G33" s="86" t="n">
        <v>218.53</v>
      </c>
      <c r="H33" s="86" t="n">
        <v>144.2</v>
      </c>
      <c r="I33" s="86" t="n">
        <v>74.99</v>
      </c>
      <c r="J33" s="85" t="n">
        <v>11</v>
      </c>
      <c r="K33" s="84" t="n">
        <v>2</v>
      </c>
      <c r="L33" s="1" t="n">
        <f aca="false">IFERROR(IF(G33="","",(G33-I33)/I33*100),"")</f>
        <v>191.412188291772</v>
      </c>
    </row>
    <row r="34" customFormat="false" ht="13.5" hidden="false" customHeight="true" outlineLevel="0" collapsed="false">
      <c r="A34" s="87" t="s">
        <v>218</v>
      </c>
      <c r="B34" s="87" t="s">
        <v>44</v>
      </c>
      <c r="C34" s="87" t="s">
        <v>219</v>
      </c>
      <c r="D34" s="88" t="n">
        <v>2002</v>
      </c>
      <c r="E34" s="89" t="n">
        <v>3</v>
      </c>
      <c r="F34" s="89" t="n">
        <v>0</v>
      </c>
      <c r="G34" s="90" t="n">
        <v>99.64</v>
      </c>
      <c r="H34" s="90" t="n">
        <v>47.56</v>
      </c>
      <c r="I34" s="90" t="n">
        <v>24.99</v>
      </c>
      <c r="J34" s="89" t="n">
        <v>13</v>
      </c>
      <c r="K34" s="88" t="n">
        <v>4</v>
      </c>
      <c r="L34" s="1" t="n">
        <f aca="false">IFERROR(IF(G34="","",(G34-I34)/I34*100),"")</f>
        <v>298.719487795118</v>
      </c>
    </row>
    <row r="35" customFormat="false" ht="13.5" hidden="false" customHeight="true" outlineLevel="0" collapsed="false">
      <c r="A35" s="83" t="s">
        <v>220</v>
      </c>
      <c r="B35" s="83" t="s">
        <v>40</v>
      </c>
      <c r="C35" s="83" t="s">
        <v>221</v>
      </c>
      <c r="D35" s="84" t="n">
        <v>2010</v>
      </c>
      <c r="E35" s="85" t="n">
        <v>990</v>
      </c>
      <c r="F35" s="85" t="n">
        <v>0</v>
      </c>
      <c r="G35" s="86" t="n">
        <v>257.12</v>
      </c>
      <c r="H35" s="86" t="n">
        <v>149.33</v>
      </c>
      <c r="I35" s="86" t="n">
        <v>119.99</v>
      </c>
      <c r="J35" s="85" t="n">
        <v>5</v>
      </c>
      <c r="K35" s="84" t="n">
        <v>2</v>
      </c>
      <c r="L35" s="1" t="n">
        <f aca="false">IFERROR(IF(G35="","",(G35-I35)/I35*100),"")</f>
        <v>114.284523710309</v>
      </c>
    </row>
    <row r="36" customFormat="false" ht="13.5" hidden="false" customHeight="true" outlineLevel="0" collapsed="false">
      <c r="A36" s="87" t="s">
        <v>222</v>
      </c>
      <c r="B36" s="87" t="s">
        <v>44</v>
      </c>
      <c r="C36" s="87" t="s">
        <v>223</v>
      </c>
      <c r="D36" s="88" t="n">
        <v>2005</v>
      </c>
      <c r="E36" s="89" t="n">
        <v>366</v>
      </c>
      <c r="F36" s="89" t="n">
        <v>0</v>
      </c>
      <c r="G36" s="90" t="n">
        <v>132.4</v>
      </c>
      <c r="H36" s="90" t="n">
        <v>94.47</v>
      </c>
      <c r="I36" s="90" t="n">
        <v>39.99</v>
      </c>
      <c r="J36" s="89" t="n">
        <v>10</v>
      </c>
      <c r="K36" s="88" t="n">
        <v>3</v>
      </c>
      <c r="L36" s="1" t="n">
        <f aca="false">IFERROR(IF(G36="","",(G36-I36)/I36*100),"")</f>
        <v>231.082770692673</v>
      </c>
    </row>
    <row r="37" customFormat="false" ht="13.5" hidden="false" customHeight="true" outlineLevel="0" collapsed="false">
      <c r="A37" s="83" t="s">
        <v>224</v>
      </c>
      <c r="B37" s="83" t="s">
        <v>44</v>
      </c>
      <c r="C37" s="83" t="s">
        <v>225</v>
      </c>
      <c r="D37" s="84" t="n">
        <v>2006</v>
      </c>
      <c r="E37" s="85" t="n">
        <v>965</v>
      </c>
      <c r="F37" s="85" t="n">
        <v>7</v>
      </c>
      <c r="G37" s="86" t="n">
        <v>702.33</v>
      </c>
      <c r="H37" s="86" t="n">
        <v>438.13</v>
      </c>
      <c r="I37" s="86" t="n">
        <v>89.99</v>
      </c>
      <c r="J37" s="85" t="n">
        <v>9</v>
      </c>
      <c r="K37" s="84" t="n">
        <v>2</v>
      </c>
      <c r="L37" s="1" t="n">
        <f aca="false">IFERROR(IF(G37="","",(G37-I37)/I37*100),"")</f>
        <v>680.453383709301</v>
      </c>
    </row>
    <row r="38" customFormat="false" ht="13.5" hidden="false" customHeight="true" outlineLevel="0" collapsed="false">
      <c r="A38" s="87" t="s">
        <v>226</v>
      </c>
      <c r="B38" s="87" t="s">
        <v>53</v>
      </c>
      <c r="C38" s="87" t="s">
        <v>227</v>
      </c>
      <c r="D38" s="88" t="n">
        <v>2006</v>
      </c>
      <c r="E38" s="89" t="n">
        <v>1068</v>
      </c>
      <c r="F38" s="89" t="n">
        <v>0</v>
      </c>
      <c r="G38" s="90" t="n">
        <v>291.94</v>
      </c>
      <c r="H38" s="90" t="n">
        <v>160.47</v>
      </c>
      <c r="I38" s="90" t="n">
        <v>79.99</v>
      </c>
      <c r="J38" s="89" t="n">
        <v>9</v>
      </c>
      <c r="K38" s="88" t="n">
        <v>2</v>
      </c>
      <c r="L38" s="1" t="n">
        <f aca="false">IFERROR(IF(G38="","",(G38-I38)/I38*100),"")</f>
        <v>264.970621327666</v>
      </c>
    </row>
    <row r="39" customFormat="false" ht="13.5" hidden="false" customHeight="true" outlineLevel="0" collapsed="false">
      <c r="A39" s="83" t="s">
        <v>228</v>
      </c>
      <c r="B39" s="83" t="s">
        <v>53</v>
      </c>
      <c r="C39" s="83" t="s">
        <v>229</v>
      </c>
      <c r="D39" s="84" t="n">
        <v>2006</v>
      </c>
      <c r="E39" s="85" t="n">
        <v>1212</v>
      </c>
      <c r="F39" s="85" t="n">
        <v>0</v>
      </c>
      <c r="G39" s="86" t="n">
        <v>523.8</v>
      </c>
      <c r="H39" s="86" t="n">
        <v>262.53</v>
      </c>
      <c r="I39" s="86" t="n">
        <v>99.99</v>
      </c>
      <c r="J39" s="85" t="n">
        <v>9</v>
      </c>
      <c r="K39" s="84" t="n">
        <v>1</v>
      </c>
      <c r="L39" s="1" t="n">
        <f aca="false">IFERROR(IF(G39="","",(G39-I39)/I39*100),"")</f>
        <v>423.852385238524</v>
      </c>
    </row>
    <row r="40" customFormat="false" ht="13.5" hidden="false" customHeight="true" outlineLevel="0" collapsed="false">
      <c r="A40" s="87" t="s">
        <v>230</v>
      </c>
      <c r="B40" s="87" t="s">
        <v>58</v>
      </c>
      <c r="C40" s="87" t="s">
        <v>231</v>
      </c>
      <c r="D40" s="88" t="n">
        <v>2006</v>
      </c>
      <c r="E40" s="89" t="n">
        <v>869</v>
      </c>
      <c r="F40" s="89" t="n">
        <v>12</v>
      </c>
      <c r="G40" s="90" t="n">
        <v>221.53</v>
      </c>
      <c r="H40" s="90" t="n">
        <v>108.93</v>
      </c>
      <c r="I40" s="90" t="n">
        <v>99.99</v>
      </c>
      <c r="J40" s="89" t="n">
        <v>9</v>
      </c>
      <c r="K40" s="88" t="n">
        <v>2</v>
      </c>
      <c r="L40" s="1" t="n">
        <f aca="false">IFERROR(IF(G40="","",(G40-I40)/I40*100),"")</f>
        <v>121.552155215522</v>
      </c>
    </row>
    <row r="41" customFormat="false" ht="13.5" hidden="false" customHeight="true" outlineLevel="0" collapsed="false">
      <c r="A41" s="83" t="s">
        <v>232</v>
      </c>
      <c r="B41" s="83" t="s">
        <v>40</v>
      </c>
      <c r="C41" s="83" t="s">
        <v>233</v>
      </c>
      <c r="D41" s="84" t="n">
        <v>2006</v>
      </c>
      <c r="E41" s="85" t="n">
        <v>1197</v>
      </c>
      <c r="F41" s="85" t="n">
        <v>0</v>
      </c>
      <c r="G41" s="86" t="n">
        <v>544.13</v>
      </c>
      <c r="H41" s="86" t="n">
        <v>243.47</v>
      </c>
      <c r="I41" s="86" t="n">
        <v>79.99</v>
      </c>
      <c r="J41" s="85" t="n">
        <v>9</v>
      </c>
      <c r="K41" s="84" t="n">
        <v>2</v>
      </c>
      <c r="L41" s="1" t="n">
        <f aca="false">IFERROR(IF(G41="","",(G41-I41)/I41*100),"")</f>
        <v>580.247530941368</v>
      </c>
    </row>
    <row r="42" customFormat="false" ht="13.5" hidden="false" customHeight="true" outlineLevel="0" collapsed="false">
      <c r="A42" s="87" t="s">
        <v>234</v>
      </c>
      <c r="B42" s="87" t="s">
        <v>53</v>
      </c>
      <c r="C42" s="87" t="s">
        <v>235</v>
      </c>
      <c r="D42" s="88" t="n">
        <v>2007</v>
      </c>
      <c r="E42" s="89" t="n">
        <v>1137</v>
      </c>
      <c r="F42" s="89" t="n">
        <v>4</v>
      </c>
      <c r="G42" s="90" t="n">
        <v>446.33</v>
      </c>
      <c r="H42" s="90" t="n">
        <v>231.4</v>
      </c>
      <c r="I42" s="90" t="n">
        <v>129.99</v>
      </c>
      <c r="J42" s="89" t="n">
        <v>8</v>
      </c>
      <c r="K42" s="88" t="n">
        <v>2</v>
      </c>
      <c r="L42" s="1" t="n">
        <f aca="false">IFERROR(IF(G42="","",(G42-I42)/I42*100),"")</f>
        <v>243.35718132164</v>
      </c>
    </row>
    <row r="43" customFormat="false" ht="13.5" hidden="false" customHeight="true" outlineLevel="0" collapsed="false">
      <c r="A43" s="83" t="s">
        <v>236</v>
      </c>
      <c r="B43" s="83" t="s">
        <v>53</v>
      </c>
      <c r="C43" s="83" t="s">
        <v>237</v>
      </c>
      <c r="D43" s="84" t="n">
        <v>2007</v>
      </c>
      <c r="E43" s="85" t="n">
        <v>5195</v>
      </c>
      <c r="F43" s="85" t="n">
        <v>5</v>
      </c>
      <c r="G43" s="86"/>
      <c r="H43" s="86"/>
      <c r="I43" s="86" t="n">
        <v>499.99</v>
      </c>
      <c r="J43" s="85" t="n">
        <v>8</v>
      </c>
      <c r="K43" s="84" t="n">
        <v>1</v>
      </c>
      <c r="L43" s="1" t="str">
        <f aca="false">IFERROR(IF(G43="","",(G43-I43)/I43*100),"")</f>
        <v/>
      </c>
    </row>
    <row r="44" customFormat="false" ht="13.5" hidden="false" customHeight="true" outlineLevel="0" collapsed="false">
      <c r="A44" s="87" t="s">
        <v>238</v>
      </c>
      <c r="B44" s="87" t="s">
        <v>40</v>
      </c>
      <c r="C44" s="87" t="s">
        <v>115</v>
      </c>
      <c r="D44" s="88" t="n">
        <v>2007</v>
      </c>
      <c r="E44" s="89" t="n">
        <v>3428</v>
      </c>
      <c r="F44" s="89" t="n">
        <v>0</v>
      </c>
      <c r="G44" s="90" t="n">
        <v>1742.93</v>
      </c>
      <c r="H44" s="90" t="n">
        <v>681.27</v>
      </c>
      <c r="I44" s="90" t="n">
        <v>199.99</v>
      </c>
      <c r="J44" s="89" t="n">
        <v>8</v>
      </c>
      <c r="K44" s="88" t="n">
        <v>1</v>
      </c>
      <c r="L44" s="1" t="n">
        <f aca="false">IFERROR(IF(G44="","",(G44-I44)/I44*100),"")</f>
        <v>771.508575428772</v>
      </c>
    </row>
    <row r="45" customFormat="false" ht="13.5" hidden="false" customHeight="true" outlineLevel="0" collapsed="false">
      <c r="A45" s="83" t="s">
        <v>239</v>
      </c>
      <c r="B45" s="83" t="s">
        <v>40</v>
      </c>
      <c r="C45" s="83" t="s">
        <v>117</v>
      </c>
      <c r="D45" s="84" t="n">
        <v>2007</v>
      </c>
      <c r="E45" s="85" t="n">
        <v>2056</v>
      </c>
      <c r="F45" s="85" t="n">
        <v>3</v>
      </c>
      <c r="G45" s="86" t="n">
        <v>1671.47</v>
      </c>
      <c r="H45" s="86" t="n">
        <v>736.19</v>
      </c>
      <c r="I45" s="86" t="n">
        <v>139.99</v>
      </c>
      <c r="J45" s="85" t="n">
        <v>8</v>
      </c>
      <c r="K45" s="84" t="n">
        <v>1</v>
      </c>
      <c r="L45" s="1" t="n">
        <f aca="false">IFERROR(IF(G45="","",(G45-I45)/I45*100),"")</f>
        <v>1093.99242803057</v>
      </c>
    </row>
    <row r="46" customFormat="false" ht="13.5" hidden="false" customHeight="true" outlineLevel="0" collapsed="false">
      <c r="A46" s="87" t="s">
        <v>240</v>
      </c>
      <c r="B46" s="87" t="s">
        <v>45</v>
      </c>
      <c r="C46" s="87" t="s">
        <v>241</v>
      </c>
      <c r="D46" s="88" t="n">
        <v>2007</v>
      </c>
      <c r="E46" s="89" t="n">
        <v>1080</v>
      </c>
      <c r="F46" s="89" t="n">
        <v>0</v>
      </c>
      <c r="G46" s="90" t="n">
        <v>274.79</v>
      </c>
      <c r="H46" s="90" t="n">
        <v>185.33</v>
      </c>
      <c r="I46" s="90" t="n">
        <v>99.99</v>
      </c>
      <c r="J46" s="89" t="n">
        <v>8</v>
      </c>
      <c r="K46" s="88" t="n">
        <v>2</v>
      </c>
      <c r="L46" s="1" t="n">
        <f aca="false">IFERROR(IF(G46="","",(G46-I46)/I46*100),"")</f>
        <v>174.817481748175</v>
      </c>
    </row>
    <row r="47" customFormat="false" ht="13.5" hidden="false" customHeight="true" outlineLevel="0" collapsed="false">
      <c r="A47" s="83" t="s">
        <v>242</v>
      </c>
      <c r="B47" s="83" t="s">
        <v>40</v>
      </c>
      <c r="C47" s="83" t="s">
        <v>243</v>
      </c>
      <c r="D47" s="84" t="n">
        <v>2008</v>
      </c>
      <c r="E47" s="85" t="n">
        <v>1981</v>
      </c>
      <c r="F47" s="85" t="n">
        <v>8</v>
      </c>
      <c r="G47" s="86" t="n">
        <v>394.07</v>
      </c>
      <c r="H47" s="86" t="n">
        <v>255.53</v>
      </c>
      <c r="I47" s="86" t="n">
        <v>149.99</v>
      </c>
      <c r="J47" s="85" t="n">
        <v>7</v>
      </c>
      <c r="K47" s="84" t="n">
        <v>1</v>
      </c>
      <c r="L47" s="1" t="n">
        <f aca="false">IFERROR(IF(G47="","",(G47-I47)/I47*100),"")</f>
        <v>162.730848723248</v>
      </c>
    </row>
    <row r="48" customFormat="false" ht="13.5" hidden="false" customHeight="true" outlineLevel="0" collapsed="false">
      <c r="A48" s="87" t="s">
        <v>244</v>
      </c>
      <c r="B48" s="87" t="s">
        <v>40</v>
      </c>
      <c r="C48" s="87" t="s">
        <v>245</v>
      </c>
      <c r="D48" s="88" t="n">
        <v>2008</v>
      </c>
      <c r="E48" s="89" t="n">
        <v>2352</v>
      </c>
      <c r="F48" s="89" t="n">
        <v>4</v>
      </c>
      <c r="G48" s="90" t="n">
        <v>905.38</v>
      </c>
      <c r="H48" s="90" t="n">
        <v>631.58</v>
      </c>
      <c r="I48" s="90" t="n">
        <v>149.99</v>
      </c>
      <c r="J48" s="89" t="n">
        <v>7</v>
      </c>
      <c r="K48" s="88" t="n">
        <v>1</v>
      </c>
      <c r="L48" s="1" t="n">
        <f aca="false">IFERROR(IF(G48="","",(G48-I48)/I48*100),"")</f>
        <v>503.626908460564</v>
      </c>
    </row>
    <row r="49" customFormat="false" ht="13.5" hidden="false" customHeight="true" outlineLevel="0" collapsed="false">
      <c r="A49" s="83" t="s">
        <v>246</v>
      </c>
      <c r="B49" s="83" t="s">
        <v>53</v>
      </c>
      <c r="C49" s="83" t="s">
        <v>247</v>
      </c>
      <c r="D49" s="84" t="n">
        <v>2008</v>
      </c>
      <c r="E49" s="85" t="n">
        <v>1085</v>
      </c>
      <c r="F49" s="85" t="n">
        <v>0</v>
      </c>
      <c r="G49" s="86" t="n">
        <v>189.87</v>
      </c>
      <c r="H49" s="86" t="n">
        <v>91.47</v>
      </c>
      <c r="I49" s="86" t="n">
        <v>89.99</v>
      </c>
      <c r="J49" s="85" t="n">
        <v>7</v>
      </c>
      <c r="K49" s="84" t="n">
        <v>2</v>
      </c>
      <c r="L49" s="1" t="n">
        <f aca="false">IFERROR(IF(G49="","",(G49-I49)/I49*100),"")</f>
        <v>110.990110012224</v>
      </c>
    </row>
    <row r="50" customFormat="false" ht="13.5" hidden="false" customHeight="true" outlineLevel="0" collapsed="false">
      <c r="A50" s="87" t="s">
        <v>248</v>
      </c>
      <c r="B50" s="87" t="s">
        <v>40</v>
      </c>
      <c r="C50" s="87" t="s">
        <v>249</v>
      </c>
      <c r="D50" s="88" t="n">
        <v>2008</v>
      </c>
      <c r="E50" s="89" t="n">
        <v>1626</v>
      </c>
      <c r="F50" s="89" t="n">
        <v>0</v>
      </c>
      <c r="G50" s="90" t="n">
        <v>763.93</v>
      </c>
      <c r="H50" s="90" t="n">
        <v>410.87</v>
      </c>
      <c r="I50" s="90" t="n">
        <v>119.99</v>
      </c>
      <c r="J50" s="89" t="n">
        <v>7</v>
      </c>
      <c r="K50" s="88" t="n">
        <v>1</v>
      </c>
      <c r="L50" s="1" t="n">
        <f aca="false">IFERROR(IF(G50="","",(G50-I50)/I50*100),"")</f>
        <v>536.661388449037</v>
      </c>
    </row>
    <row r="51" customFormat="false" ht="13.5" hidden="false" customHeight="true" outlineLevel="0" collapsed="false">
      <c r="A51" s="83" t="s">
        <v>250</v>
      </c>
      <c r="B51" s="83" t="s">
        <v>53</v>
      </c>
      <c r="C51" s="83" t="s">
        <v>251</v>
      </c>
      <c r="D51" s="84" t="n">
        <v>2008</v>
      </c>
      <c r="E51" s="85" t="n">
        <v>3803</v>
      </c>
      <c r="F51" s="85" t="n">
        <v>22</v>
      </c>
      <c r="G51" s="86" t="n">
        <v>490.38</v>
      </c>
      <c r="H51" s="86" t="n">
        <v>326.03</v>
      </c>
      <c r="I51" s="86" t="n">
        <v>399.99</v>
      </c>
      <c r="J51" s="85" t="n">
        <v>7</v>
      </c>
      <c r="K51" s="84" t="n">
        <v>1</v>
      </c>
      <c r="L51" s="1" t="n">
        <f aca="false">IFERROR(IF(G51="","",(G51-I51)/I51*100),"")</f>
        <v>22.5980649516238</v>
      </c>
    </row>
    <row r="52" customFormat="false" ht="13.5" hidden="false" customHeight="true" outlineLevel="0" collapsed="false">
      <c r="A52" s="87" t="s">
        <v>252</v>
      </c>
      <c r="B52" s="87" t="s">
        <v>40</v>
      </c>
      <c r="C52" s="87" t="s">
        <v>109</v>
      </c>
      <c r="D52" s="88" t="n">
        <v>2008</v>
      </c>
      <c r="E52" s="89" t="n">
        <v>5922</v>
      </c>
      <c r="F52" s="89" t="n">
        <v>0</v>
      </c>
      <c r="G52" s="90" t="n">
        <v>2394.19</v>
      </c>
      <c r="H52" s="90" t="n">
        <v>965.53</v>
      </c>
      <c r="I52" s="90" t="n">
        <v>299.99</v>
      </c>
      <c r="J52" s="89" t="n">
        <v>7</v>
      </c>
      <c r="K52" s="88" t="n">
        <v>1</v>
      </c>
      <c r="L52" s="1" t="n">
        <f aca="false">IFERROR(IF(G52="","",(G52-I52)/I52*100),"")</f>
        <v>698.089936331211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2026-03-25T09:15:00Z</dcterms:created>
  <dc:creator>openpyxl</dc:creator>
  <dc:description/>
  <dc:language>en-US</dc:language>
  <cp:lastModifiedBy>Heba Nazir</cp:lastModifiedBy>
  <dcterms:modified xsi:type="dcterms:W3CDTF">2026-03-25T10:34:30Z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E8AED56D83BB44CB979FE8905C7DBC14_13</vt:lpwstr>
  </property>
  <property fmtid="{D5CDD505-2E9C-101B-9397-08002B2CF9AE}" pid="3" name="KSOProductBuildVer">
    <vt:lpwstr>2057-12.2.0.23196</vt:lpwstr>
  </property>
</Properties>
</file>